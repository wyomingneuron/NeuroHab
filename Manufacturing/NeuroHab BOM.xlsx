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The quantity received in the order.</t>
      </text>
    </comment>
    <comment authorId="0" ref="C1">
      <text>
        <t xml:space="preserve">The quantity needed for the NeuroHab.</t>
      </text>
    </comment>
    <comment authorId="0" ref="D1">
      <text>
        <t xml:space="preserve">The cost of the order.</t>
      </text>
    </comment>
    <comment authorId="0" ref="E1">
      <text>
        <t xml:space="preserve">The cost of the parts required.</t>
      </text>
    </comment>
  </commentList>
</comments>
</file>

<file path=xl/sharedStrings.xml><?xml version="1.0" encoding="utf-8"?>
<sst xmlns="http://schemas.openxmlformats.org/spreadsheetml/2006/main" count="145" uniqueCount="67">
  <si>
    <t>Item</t>
  </si>
  <si>
    <t>QTY</t>
  </si>
  <si>
    <t>Needed QTY</t>
  </si>
  <si>
    <t>Cost</t>
  </si>
  <si>
    <t>Needed Cost</t>
  </si>
  <si>
    <t>Link</t>
  </si>
  <si>
    <t>Cost for 1 Additional</t>
  </si>
  <si>
    <t>Arduino Mega</t>
  </si>
  <si>
    <t>link</t>
  </si>
  <si>
    <t>Note* Check plumbing requirements before buying 1/16" or 3/16" tubing and barbs as some setups require both, 3/16", or 1/16".</t>
  </si>
  <si>
    <t>ESP32 Dev Kit C</t>
  </si>
  <si>
    <t>BNC Female (Receiver) Right Angle 5pc</t>
  </si>
  <si>
    <t>Total Cost</t>
  </si>
  <si>
    <t>Replacement 22 AWG Wire</t>
  </si>
  <si>
    <t>5V Relay Module Board 2pc</t>
  </si>
  <si>
    <t>Good Solder</t>
  </si>
  <si>
    <t>LCD Screen IIC</t>
  </si>
  <si>
    <t>Micro SD Card Reader</t>
  </si>
  <si>
    <t>RTC Module DS3231 w Battery</t>
  </si>
  <si>
    <t>Micro SD Cards 16GB</t>
  </si>
  <si>
    <t>Acrylic Sheets</t>
  </si>
  <si>
    <t>Food Grade PVC 1/16" Tubing</t>
  </si>
  <si>
    <t>UF4007 Diodes</t>
  </si>
  <si>
    <t>Food Grade PVC 3/16" Tubing</t>
  </si>
  <si>
    <t>M3 Assortment</t>
  </si>
  <si>
    <t>Male Luer Lock 3/16" Tubing Barb</t>
  </si>
  <si>
    <t>M4 Assortment</t>
  </si>
  <si>
    <t>Valve to Luer 3/16" barb to 1/8" male</t>
  </si>
  <si>
    <t>FED3</t>
  </si>
  <si>
    <t>6mm Magnets</t>
  </si>
  <si>
    <t>Insulated Alligator Clips</t>
  </si>
  <si>
    <t>Aux to Wire</t>
  </si>
  <si>
    <t>30 ml Syringe Barrels</t>
  </si>
  <si>
    <t>Barrel Plug</t>
  </si>
  <si>
    <t>LEECO Solenoid Valves 12V</t>
  </si>
  <si>
    <t>Micro - USB</t>
  </si>
  <si>
    <t>240 SMD Resistors 0603</t>
  </si>
  <si>
    <t>Dispensing Needles 14 GA</t>
  </si>
  <si>
    <t>1K SMD Resistors 0603</t>
  </si>
  <si>
    <t>12V US SOLID Valves</t>
  </si>
  <si>
    <t>1M SMD Resistors 0603</t>
  </si>
  <si>
    <t>5 Pin CS Cables</t>
  </si>
  <si>
    <t>2.54mm Terminal Adapters</t>
  </si>
  <si>
    <t>SD Card Reader</t>
  </si>
  <si>
    <t>Totals</t>
  </si>
  <si>
    <t>Male Luer Lock 1/16" Tubing Barb</t>
  </si>
  <si>
    <t>Female Luer Lock 1/16" Tubing Barb</t>
  </si>
  <si>
    <t>Core / CS PCB</t>
  </si>
  <si>
    <t>JLC PCB</t>
  </si>
  <si>
    <t>3D Print Structs</t>
  </si>
  <si>
    <t>3D Print Arms Long</t>
  </si>
  <si>
    <t>3D Print Arms Short</t>
  </si>
  <si>
    <t>3D Print Floor</t>
  </si>
  <si>
    <t>3D Print Brim</t>
  </si>
  <si>
    <t>3D Print Core</t>
  </si>
  <si>
    <t>Dispensing Needles 14 GA 1"</t>
  </si>
  <si>
    <t>100 PCS 5mm RGB LED</t>
  </si>
  <si>
    <t>10 PCS Active Buzzer</t>
  </si>
  <si>
    <t>Totals - FED3</t>
  </si>
  <si>
    <t>Totals -Solenoids</t>
  </si>
  <si>
    <t>Totals - FED3 - Solenoids</t>
  </si>
  <si>
    <t>FED3 % of Total Cost</t>
  </si>
  <si>
    <t>LEECO Valves % of Total Cost</t>
  </si>
  <si>
    <t>Totals - Core Only with US Solenoids</t>
  </si>
  <si>
    <t>*Shipping costs may inflate price. Might be worth buying from Cole-Parmer to reduce plumbing costs.</t>
  </si>
  <si>
    <t>Old</t>
  </si>
  <si>
    <t>Smooth Bore Luer to 1/16" Tubing Barb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</si>
</sst>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" xfId="0" applyAlignment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4" numFmtId="0" xfId="0" applyAlignment="1" applyFont="1">
      <alignment readingOrder="0"/>
    </xf>
    <xf borderId="0" fillId="2" fontId="4" numFmtId="0" xfId="0" applyFill="1" applyFont="1"/>
    <xf borderId="0" fillId="2" fontId="5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1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4" numFmtId="1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4" numFmtId="1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4" numFmtId="1" xfId="0" applyFont="1" applyNumberFormat="1"/>
    <xf borderId="0" fillId="0" fontId="4" numFmtId="164" xfId="0" applyFont="1" applyNumberFormat="1"/>
    <xf borderId="0" fillId="0" fontId="9" numFmtId="164" xfId="0" applyFont="1" applyNumberFormat="1"/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2" numFmtId="1" xfId="0" applyAlignment="1" applyBorder="1" applyFill="1" applyFont="1" applyNumberFormat="1">
      <alignment horizontal="right" shrinkToFit="0" vertical="bottom" wrapText="0"/>
    </xf>
    <xf borderId="1" fillId="3" fontId="2" numFmtId="165" xfId="0" applyAlignment="1" applyBorder="1" applyFill="1" applyFont="1" applyNumberFormat="1">
      <alignment horizontal="right" shrinkToFit="0" vertical="bottom" wrapText="0"/>
    </xf>
    <xf borderId="1" fillId="3" fontId="1" numFmtId="164" xfId="0" applyAlignment="1" applyBorder="1" applyFill="1" applyFont="1" applyNumberFormat="1">
      <alignment horizontal="right" shrinkToFit="0" vertical="bottom" wrapText="0"/>
    </xf>
    <xf borderId="1" fillId="3" fontId="2" numFmtId="49" xfId="0" applyAlignment="1" applyBorder="1" applyFill="1" applyFont="1" applyNumberFormat="1">
      <alignment shrinkToFit="0" vertical="bottom" wrapText="0"/>
    </xf>
    <xf borderId="1" fillId="3" fontId="1" numFmtId="164" xfId="0" applyAlignment="1" applyBorder="1" applyFill="1" applyFont="1" applyNumberFormat="1">
      <alignment horizontal="right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2" numFmtId="49" xfId="0" applyAlignment="1" applyFill="1" applyFont="1" applyNumberFormat="1">
      <alignment shrinkToFit="0" vertical="bottom" wrapText="0"/>
    </xf>
    <xf borderId="0" fillId="0" fontId="4" numFmtId="49" xfId="0" applyFont="1" applyNumberFormat="1"/>
    <xf borderId="0" fillId="3" fontId="2" numFmtId="0" xfId="0" applyAlignment="1" applyFill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Bill of Material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Bill of Materials-style 2">
      <tableStyleElement dxfId="2" type="firstRowStripe"/>
      <tableStyleElement dxfId="3" type="secondRowStripe"/>
    </tableStyle>
    <tableStyle count="2" pivot="0" name="Bill of Materials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51" displayName="Bill_of_Materials" name="Bill_of_Materials" id="1">
  <tableColumns count="7">
    <tableColumn totalsRowLabel="Totals - Core Only with US Solenoids" name="Item" id="1"/>
    <tableColumn totalsRowFunction="custom" name="QTY" id="2"/>
    <tableColumn totalsRowFunction="custom" name="Needed QTY" id="3"/>
    <tableColumn totalsRowFunction="custom" name="Cost" id="4"/>
    <tableColumn totalsRowFunction="custom" name="Needed Cost" id="5"/>
    <tableColumn name="Link" id="6"/>
    <tableColumn totalsRowFunction="custom" name="Cost for 1 Additional" id="7"/>
  </tableColumns>
  <tableStyleInfo name="Bill of Materials-style" showColumnStripes="0" showFirstColumn="1" showLastColumn="1" showRowStripes="1"/>
</table>
</file>

<file path=xl/tables/table2.xml><?xml version="1.0" encoding="utf-8"?>
<table xmlns="http://schemas.openxmlformats.org/spreadsheetml/2006/main" headerRowCount="0" ref="I2:O11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ll of Materials-style 2" showColumnStripes="0" showFirstColumn="1" showLastColumn="1" showRowStripes="1"/>
</table>
</file>

<file path=xl/tables/table3.xml><?xml version="1.0" encoding="utf-8"?>
<table xmlns="http://schemas.openxmlformats.org/spreadsheetml/2006/main" headerRowCount="0" ref="I13:O23" displayName="Table_2" name="Table_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ll of Material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BV94GN8M?ref=fed_asin_title" TargetMode="External"/><Relationship Id="rId42" Type="http://schemas.openxmlformats.org/officeDocument/2006/relationships/hyperlink" Target="https://www.amazon.com/Reader-Adapter-Camera-Memory-Wansurs/dp/B0B9QZ4W4Y/ref=sr_1_3?crid=3O38UV8JGZ4BW&amp;dib=eyJ2IjoiMSJ9.OP-goGzbVTBErEAb5KAgGJQYvmn_2wxLPXl2ZMSbrDqfsYGxEq-DNq7skeAfTJn8-IbCw1jEbtkHBaVTMJts0yCxsyRqCQ0LAKQMmUFnm0WtpnCcjIDwWqBecX-q4OaFJxxmcUXU9HfYxzEr9AQx1PVzKO30FIG8Y3JjoMSHbSkkWzWBoP0Crf3Xa0gB9FYKPTlg5LWIV16uvtGZGGYywliki8nU3Vy2KrfoAYjpUmY01EyE5z6bnBnQWtyBVlpegwSujdsgSbLvGyvxa1DxbhEyd2jGALZbcFJ9cPh7HgY.p30ZvcMej-gMUK_ND_6PJvunD3jw-jBkrLkfq6_8NNo&amp;dib_tag=se&amp;keywords=micro+sd+card+to+usb&amp;qid=1749076997&amp;s=electronics&amp;sprefix=micro+sd+card+to+us%2Celectronics%2C138&amp;sr=1-3" TargetMode="External"/><Relationship Id="rId41" Type="http://schemas.openxmlformats.org/officeDocument/2006/relationships/hyperlink" Target="https://www.amazon.com/Molence-Terminal-Connector-Terminals-26-18AWG/dp/B09F6TC7RP/ref=sr_1_3?crid=34PBNPEWV82SJ&amp;dib=eyJ2IjoiMSJ9.0N3lHiLWdDZDxoQGKY8TClE1bccuKozx-4HCFBGjr_sNR7Ll7xOuzVb1LTjWv52C9s4eI5PspjfejI0dErs5vJEFVUwvxj6FbhgBe9y9aMc4lVW_yss6NlLZ_OeE1NGGe1xQ6Uy4Yi-OgRg9C8JPjtuMlbdGinlmWTQjCaAmNw2PhOcT4h-P9M7QtPN2AIvGBRmfPKaa3qwCyJIyItpxDww8ojvS9qfX_DAbYnBnqfQ.N7FaJHOYK3MRIeuMiBeYYi_yajeJbgbU4KO20rwpZOM&amp;dib_tag=se&amp;keywords=2.54+mm+terminal+block&amp;qid=1761161420&amp;sprefix=2.54+mm+terminal+block%2Caps%2C123&amp;sr=8-3" TargetMode="External"/><Relationship Id="rId44" Type="http://schemas.openxmlformats.org/officeDocument/2006/relationships/hyperlink" Target="https://www.amazon.com/DERNORD-Tubing-Flexible-Clear-Vinyl/dp/B0D7CKLDM7/ref=sr_1_2_sspa?crid=10PA8S86VIRU1&amp;dib=eyJ2IjoiMSJ9.A7HAS2uHUPJXg76WxeQ5HbJIgwEn5pa_VBrnI-_uA263Sjyxbj4EK9oWs4DaKbX2js4sx-79yune5pRKnxQzNrbJ_TC4Q267L9eW_bVks0wLlAY2lzSGT575IQq00ebL9o4HSbhr9BvkhD71gxFI89vWsfIw-JhPNtMmq6_CZ2VKBiaDR5rC0Zl4q84oDX1-tw5fNn-xjxJNWwepTemFkqCTw1gkOXah9Pgjyv-Hw9k.o9AFhyYzb_ExLVrDw0yCUH0OpocHNbiCV2L5-x4UtI4&amp;dib_tag=se&amp;keywords=PE%2Btubing%2B1%2F16%22ID&amp;qid=1770320961&amp;sprefix=pe%2Btubing%2B1%2F16%2Bid%2Caps%2C222&amp;sr=8-2-spons&amp;sp_csd=d2lkZ2V0TmFtZT1zcF9hdGY&amp;th=1" TargetMode="External"/><Relationship Id="rId43" Type="http://schemas.openxmlformats.org/officeDocument/2006/relationships/hyperlink" Target="https://ussolid.com/products/u-s-solid-electric-solenoid-valve-1-8-12v-dc-solenoid-valve-plastic-nylon-body-normally-closed-nbr-seal-html?pr_prod_strat=e5_desc&amp;pr_rec_id=e76170d7e&amp;pr_rec_pid=8925875798271&amp;pr_ref_pid=8925880025343&amp;pr_seq=uniform" TargetMode="External"/><Relationship Id="rId46" Type="http://schemas.openxmlformats.org/officeDocument/2006/relationships/hyperlink" Target="https://www.amazon.com/Syringe-Adapter-Male-Luer-Inch-Luer-Connector-Kit/dp/B0C1FV8NGL/ref=sr_1_3?crid=28MLKCWCZH863&amp;dib=eyJ2IjoiMSJ9.eAL3cxaPxCVJaKNrcivZyaM68rZxLDqbySc3jmh-mJ-_RFqR3_CpxtdB72KmbotqcyomU9s6kJx0K8PxCSWD4Pt4Vv9LDV4jh0X0frRIVy4dPhY7UBwxrpbvj-VxKaQTiLaqUWshBK9VgOeWAjKkys6PoPJ568AkkhroxOejziUzBW8czOgi9gqvw3hmBEb3oQYBlcwDUjb36Q9r-PVcN4_afCBMd1xluoGZgrjGS3g.Lr_CyWyOOFOddCzfsphtrxIOXvyuCL5GHCPjD3cmv0k&amp;dib_tag=se&amp;keywords=3%2F16%22+male+luer+lock+barb&amp;qid=1770321373&amp;sprefix=3%2F16+maleluer+lock+barb%2Caps%2C190&amp;sr=8-3" TargetMode="External"/><Relationship Id="rId45" Type="http://schemas.openxmlformats.org/officeDocument/2006/relationships/hyperlink" Target="https://www.amazon.com/DERNORD-Tubing-Flexible-Clear-Vinyl/dp/B08NY3P85J/ref=sr_1_2_sspa?crid=10PA8S86VIRU1&amp;dib=eyJ2IjoiMSJ9.A7HAS2uHUPJXg76WxeQ5HbJIgwEn5pa_VBrnI-_uA263Sjyxbj4EK9oWs4DaKbX2js4sx-79yune5pRKnxQzNrbJ_TC4Q267L9eW_bVks0wLlAY2lzSGT575IQq00ebL9o4HSbhr9BvkhD71gxFI89vWsfIw-JhPNtMmq6_CZ2VKBiaDR5rC0Zl4q84oDX1-tw5fNn-xjxJNWwepTemFkqCTw1gkOXah9Pgjyv-Hw9k.o9AFhyYzb_ExLVrDw0yCUH0OpocHNbiCV2L5-x4UtI4&amp;dib_tag=se&amp;keywords=PE%2Btubing%2B1%2F16%22ID&amp;qid=1770320961&amp;sprefix=pe%2Btubing%2B1%2F16%2Bid%2Caps%2C222&amp;sr=8-2-spons&amp;sp_csd=d2lkZ2V0TmFtZT1zcF9hdGY&amp;th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m/ELEGOO-Compatible-Arduino-Projects-Compliant/dp/B01H4ZLZLQ/ref=sr_1_1?crid=24K3O23FWT52I&amp;dib=eyJ2IjoiMSJ9.C9li7QlUOdnawgCr8xZlUWJYYcjgPxrHNgW0xV6ZrCa7jiDmBRL6I_GlZoNp9IwwXp9-VRyFBVBqE5tHhQrKvE4WAn621A5FBFs6QxDT-XNMbLipfo1VyEWnnBeDO5Sasg2m3i2x6lj5dtbsrx-zQ_4m9rOZJuPZcUhF5PCoW_Uyt7UnXv8yBzIT-IOvTI4MC77eG74qED0eYVJWbQXDeEqP4w4CZaGV1JVxRf9bv0A.abjaQIyhhXwkKUbjNXMnqQ_dVzaNTgPUqWHM0wzdTM0&amp;dib_tag=se&amp;keywords=arduino%2Bmega&amp;qid=1749063370&amp;sprefix=arduino%2Bmega%2Caps%2C152&amp;sr=8-1&amp;th=1" TargetMode="External"/><Relationship Id="rId3" Type="http://schemas.openxmlformats.org/officeDocument/2006/relationships/hyperlink" Target="https://www.amazon.com/ESP-WROOM-32-Development-Microcontroller-Integrated-Compatible/dp/B08D5ZD528/ref=sr_1_5?crid=3BESCCAVQDP14&amp;dib=eyJ2IjoiMSJ9.LpNLPChCvsrJ1-SdIMmr7qN7o0kQxM6f_HUy1xiAe3AcnEZiE_GDNk4ViHFiGhGM6s34NXfbpzmY-SNdoWK0LYZt5AxPrQGt7a3dTAhh9r5u44jwNYux_q_bRthYe_PWQDS1iPdODGg2HC-cKGo8EDtpRqeL3hQYVCnuCZm8xB7yFmcOu-B_8D9A4raPt7TLrAt7M0c6ETHQQtlscS0scaLmLLiXlLHxWptE9DTwCu0.yX7q74Ce8Vrk8eMh9k0adKLB37e39eUzX-j8XC09Bgs&amp;dib_tag=se&amp;keywords=esp32%2Bdev%2Bkit%2Bc&amp;qid=1753130768&amp;sprefix=esp32%2Bdev%2Bkit%2Caps%2C141&amp;sr=8-5&amp;th=1" TargetMode="External"/><Relationship Id="rId4" Type="http://schemas.openxmlformats.org/officeDocument/2006/relationships/hyperlink" Target="https://www.amazon.com/Superbat-Connector-Bulkhead-Monitoring-Transceiver/dp/B09V56M8F4/ref=sr_1_1_sspa?crid=1X8MENJHSBM2F&amp;dib=eyJ2IjoiMSJ9.U-56ZdOhYHMC1cW-3v_6e5myQszpPZEYq-y9ooiIBY336_nRQ8W3CgC7YxssmOSOGg2WiePZ5VbW6WS_Cw_jjK7GWze_mQ7KBhau4EReyYvb30olH3blymOhOQS_imHPz41BWhkekWliHAuMVEnacbboivaKBO7_rXfCEfFYcvIpYQPnGBZ6lP5sgPqriZffoUSj_xufINU_i9nF3If4SSWnID4Gi1nRC2MUPbl7zHg.XkB6HVAWOwIys38fWGTXbcyPf8vlns0YTCB5qjwlc_g&amp;dib_tag=se&amp;keywords=bnc%2Bport&amp;qid=1748981334&amp;sprefix=bnc%2Bpor%2Caps%2C134&amp;sr=8-1-spons&amp;sp_csd=d2lkZ2V0TmFtZT1zcF9hdGY&amp;th=1" TargetMode="External"/><Relationship Id="rId9" Type="http://schemas.openxmlformats.org/officeDocument/2006/relationships/hyperlink" Target="https://www.amazon.com/TOWOT-Purity-Electrical-Soldering-Content/dp/B09KM2LW4G/ref=sr_1_1_sspa?crid=2ATO2Y4Z7ESVP&amp;dib=eyJ2IjoiMSJ9.QUpD02drwVJlGcRsfXRvSNV151IQ1vpqPgsVfqh4v5BkaJd0Eh0vB7ljT6uyzt27c49qSsrtXn7Sxwm9zc6iq3bh7qOOFXV07jKZOCqwJQkOfyYVKXtU4KxZhpVKJsGUOSQ-lSnnXWbUoas6OU-eZers4lIhIfxkr50E0g3WYmzi2EVFQXOY0qri3xpJAyM89d2f9fA7AzMxi34IU0hNHHiqyCXPFABu_AKGg73bCjmSRVExtLccIKW7UXWuqfzAwsZV2mZPB89wmCBNzM4Q6yaJd6rtJtKg2HNRR1unYsw.uEJuumIE_iKV_4EeUS64ExnhewOIjSLkYyqWB_rk9Pw&amp;dib_tag=se&amp;keywords=solder&amp;qid=1753131275&amp;sprefix=solder%2Caps%2C145&amp;sr=8-1-spons&amp;sp_csd=d2lkZ2V0TmFtZT1zcF9hdGY&amp;th=1" TargetMode="External"/><Relationship Id="rId48" Type="http://schemas.openxmlformats.org/officeDocument/2006/relationships/hyperlink" Target="https://www.amazon.com/Syringe-Adapter-Clear-Female-Luer-Connector-Kit-Coupler/dp/B0BM9QPS3M" TargetMode="External"/><Relationship Id="rId47" Type="http://schemas.openxmlformats.org/officeDocument/2006/relationships/hyperlink" Target="https://www.amazon.com/30pcs-Adapter-Clear-Connector-Coupler/dp/B0BQBPJ6FS/ref=sr_1_18?dib=eyJ2IjoiMSJ9.7v7BXOtp2NYZvaN3FhSdrxTUF5JsTmDNX5DYZ0UP2V5c5T0YcJmn59lpTtJsdS4L9tLlk0-DN8ruIj_oyTYYGGOV1qViaONN0P_UIuOIJYz562HdU8-5gih96-EBw60kzz_HCuA9UAbIpff0QK6hfNpj0INAup0gxFhPo-4iAnMt0d2n8ayvkMNDP7ieBIDqwFtWN0Szq51nmUgOG3B3i0JofGxj0VY1qZ__guarNeY.admDqPMXYVqY2rSGBD7-QCQcFb26-eel0cHhwRRql3Y&amp;dib_tag=se&amp;hvadid=695239314676&amp;hvdev=c&amp;hvexpln=67&amp;hvlocphy=9029246&amp;hvnetw=g&amp;hvocijid=9957401011071267306--&amp;hvqmt=e&amp;hvrand=9957401011071267306&amp;hvtargid=kwd-1430288118139&amp;hydadcr=29386_14570417&amp;keywords=luer+lock+connector+kit&amp;mcid=3d2036edf9583b08b0aecc7b6cfad1b7&amp;qid=1759954476&amp;sr=8-18" TargetMode="External"/><Relationship Id="rId49" Type="http://schemas.openxmlformats.org/officeDocument/2006/relationships/hyperlink" Target="https://www.amazon.com/JoyTube-Plastic-Fittings-Adapter-Connector/dp/B08JD8LBHN/ref=sr_1_2_sspa?crid=29I910514I5FR&amp;keywords=1%2F16%22+hose+barb+luer+lock+to+npt+thread&amp;nsdOptOutParam=true&amp;qid=1770320709&amp;sprefix=1%2F16+hose+barb+luer+lock+to+npt+threa%2Caps%2C185&amp;sr=8-2-spons&amp;sp_csd=d2lkZ2V0TmFtZT1zcF9idGY&amp;psc=1" TargetMode="External"/><Relationship Id="rId5" Type="http://schemas.openxmlformats.org/officeDocument/2006/relationships/hyperlink" Target="https://www.amazon.com/TUOFENG-Hookup-Wires-6-Different-Colored/dp/B0815ZDD5H/ref=sr_1_1_sspa?crid=10GB6XFUJ1FNB&amp;dib=eyJ2IjoiMSJ9.tfZVvIqykZ5d8Ly5twamOOUhLZpYJ7WPmsAGi2mxNAEhvTcnAdQIwanbHNYTBGK32xBybMN8ukIvC0PL23VN-mt2yD5hf9Brmy6JnX0uaE80i_KgIiiH2bumdF2K1VeKdfud7H_ddiKpJ8DksOxVcXly7OOukZng-6O-AwpgGM809-C7QOOSudUNkO06gWHEoKLedLVYtA_GpXILzyoSnE5KxT_lIGWfqyrhDOkgnAdowXE05qWJY2xPcNc4JDDaxigfLCyGzZSpzUUEPOAYfLwA62wJWaf6r43zm4p-Eqo.7CUlC1_z_2bdVBdYeYPGoV-G5TokDqv2bcHx328-VY8&amp;dib_tag=se&amp;keywords=22%2Bawg%2Bwire&amp;qid=1753810769&amp;sprefix=22%2Bawg%2Bwire%2Caps%2C178&amp;sr=8-1-spons&amp;sp_csd=d2lkZ2V0TmFtZT1zcF9hdGY&amp;th=1" TargetMode="External"/><Relationship Id="rId6" Type="http://schemas.openxmlformats.org/officeDocument/2006/relationships/hyperlink" Target="https://www.amazon.com/ELEGOO-Compatible-Arduino-Projects-Compliant/dp/B01H4ZLZLQ/ref=sr_1_1?crid=24K3O23FWT52I&amp;dib=eyJ2IjoiMSJ9.C9li7QlUOdnawgCr8xZlUWJYYcjgPxrHNgW0xV6ZrCa7jiDmBRL6I_GlZoNp9IwwXp9-VRyFBVBqE5tHhQrKvE4WAn621A5FBFs6QxDT-XNMbLipfo1VyEWnnBeDO5Sasg2m3i2x6lj5dtbsrx-zQ_4m9rOZJuPZcUhF5PCoW_Uyt7UnXv8yBzIT-IOvTI4MC77eG74qED0eYVJWbQXDeEqP4w4CZaGV1JVxRf9bv0A.abjaQIyhhXwkKUbjNXMnqQ_dVzaNTgPUqWHM0wzdTM0&amp;dib_tag=se&amp;keywords=arduino%2Bmega&amp;qid=1749063370&amp;sprefix=arduino%2Bmega%2Caps%2C152&amp;sr=8-1&amp;th=1" TargetMode="External"/><Relationship Id="rId7" Type="http://schemas.openxmlformats.org/officeDocument/2006/relationships/hyperlink" Target="https://www.amazon.com/ANMBEST-Channel-Optocoupler-Expansion-Raspberry/dp/B08PP8HXVD/ref=sr_1_3?crid=2KOI3T0TBHEF&amp;dib=eyJ2IjoiMSJ9.vzf8VvenXXtwiBMTu2pnavOqubFA3Lbc93p8PXTbEYJT9gN8-6Qj8kTiAOYhuxMGmDyj4fElo7zpkc3aVFMnGFUpOlplkXEIxUpaktXjKnveDEd6vHA2d7AQa5BUDmV_zcgHbtjpx1xNJz2J-mY9CbNxTAVkAdKdjbr4maYvsZTSPU2kH_uhIMR-1v-OP4FljiYbSdA6iBSw3Y0ESEE1FgTDhZ-NB5HR18Y5EoGesAU.mV2fBpn-SpBqeogn-sL6BvQzqXzK4DFhRbqdIMvhWjA&amp;dib_tag=se&amp;keywords=4%2B5v%2Brelay%2Bmodule&amp;qid=1753131156&amp;sprefix=4%2B5v%2Brelay%2Bmodul%2Caps%2C138&amp;sr=8-3&amp;th=1" TargetMode="External"/><Relationship Id="rId8" Type="http://schemas.openxmlformats.org/officeDocument/2006/relationships/hyperlink" Target="https://www.amazon.com/ESP-WROOM-32-Development-Microcontroller-Integrated-Compatible/dp/B08D5ZD528/ref=sr_1_5?crid=3BESCCAVQDP14&amp;dib=eyJ2IjoiMSJ9.LpNLPChCvsrJ1-SdIMmr7qN7o0kQxM6f_HUy1xiAe3AcnEZiE_GDNk4ViHFiGhGM6s34NXfbpzmY-SNdoWK0LYZt5AxPrQGt7a3dTAhh9r5u44jwNYux_q_bRthYe_PWQDS1iPdODGg2HC-cKGo8EDtpRqeL3hQYVCnuCZm8xB7yFmcOu-B_8D9A4raPt7TLrAt7M0c6ETHQQtlscS0scaLmLLiXlLHxWptE9DTwCu0.yX7q74Ce8Vrk8eMh9k0adKLB37e39eUzX-j8XC09Bgs&amp;dib_tag=se&amp;keywords=esp32%2Bdev%2Bkit%2Bc&amp;qid=1753130768&amp;sprefix=esp32%2Bdev%2Bkit%2Caps%2C141&amp;sr=8-5&amp;th=1" TargetMode="External"/><Relationship Id="rId31" Type="http://schemas.openxmlformats.org/officeDocument/2006/relationships/hyperlink" Target="https://www.amazon.com/Individual-Measurement-Scientific-Measuring-Applicator/dp/B0BZ4FR8K9/ref=sr_1_1_sspa?crid=3SM44N6DE7Q1I&amp;dib=eyJ2IjoiMSJ9.IAfzy4vt-LW8R-c1BBRvhZ_9_E1mO7XQJUJIsGHsGL54WZFRfBtPHvIkXdj2n6OlocsRk0bQrx9EolkzsuBYcmniGNe-_BEp-J8OlBGlrq3jwuuw0v_mKnN1pXIjijIiPZf6LOShsyJKE1Dn-GtZlxXQtvCpQRKy08PjmGUAS9GxMrUz4kz1WUUpB19wPW5FoMJvwSuPiqDtSpbB0uLSnbuTpSu3fQ64RA8UBhiRTNw.Ui6nGoiKFZ6gZijA_9h43UdkSrcqJADb_OKsJ6cwkhs&amp;dib_tag=se&amp;keywords=30%2Bcc%2Bsyringes%2Bwithout%2Bneedle&amp;qid=1753988875&amp;sprefix=30%2Bcc%2Caps%2C128&amp;sr=8-1-spons&amp;sp_csd=d2lkZ2V0TmFtZT1zcF9hdGY&amp;th=1" TargetMode="External"/><Relationship Id="rId30" Type="http://schemas.openxmlformats.org/officeDocument/2006/relationships/hyperlink" Target="https://www.amazon.com/RIIEYOCA-Stereo-Equipment-Installed-Replace/dp/B09Y1BWKB5/ref=sr_1_2_sspa?crid=DQ0EAYIXG8RN&amp;dib=eyJ2IjoiMSJ9.IISCHYhXo2UTtTxnRBudP14KIaJeDET5Qh-W2zoymx34Pxlvv1mVKGa25jY9z99ywsFR4Ca9PR6RZxAomSmSZGxHomo7BZzN67u9VWF2Ht2zXcV5E-En1yeRlhyEe7aYMIsx-9hHFOirGvkvNXJ6QZlCJuy0n-8c_4Di_UX2sgFN4lKK4hb8y1mOQb-6weVJYiUkktsv-f8CG6_TreEZh5GkfqFap4hnf0mFp2ZOX2Q.oxmkxitmKaShJwZvitAyarU6TI_IsqQBsoJ5I4OG2UM&amp;dib_tag=se&amp;keywords=aux%2Bto%2Bwire&amp;qid=1770324432&amp;sprefix=aux%2Bto%2Bw%2Caps%2C203&amp;sr=8-2-spons&amp;sp_csd=d2lkZ2V0TmFtZT1zcF9hdGY&amp;th=1" TargetMode="External"/><Relationship Id="rId33" Type="http://schemas.openxmlformats.org/officeDocument/2006/relationships/hyperlink" Target="https://www.theleeco.com/industries/other/products/solenoid-valves/" TargetMode="External"/><Relationship Id="rId32" Type="http://schemas.openxmlformats.org/officeDocument/2006/relationships/hyperlink" Target="https://www.amazon.com/SmoTecQ-Adapter-Security-Printer-Electronics/dp/B077PW5JC3/ref=sr_1_6?dib=eyJ2IjoiMSJ9.-Sx2GM_EqNiO5vBNuKVtC15uHSv47OmNXISu2uoqnobCcKZBmIiXnxBzatqSwF8YCcx_tSO6R88frTVqq1VKWx7B9sg4FeNpYyk15lJGOc69MKAOo5xc9_2giDkuwoWyLBhqmSWwyUnhQs-yrO-Vuwu8SFMQb3AmzQSzxqsMej7l0R7nL0mKtSpY1sjSAqU8Dv1COsD6unPHSj1OyJFtT05bu4pAHU2h8MtwVXCVz4w.upsM052eBojVPSq9cqioeHsmIjiRXdIInL3ZcdmQg_A&amp;dib_tag=se&amp;keywords=arduino+power+supply+12v&amp;qid=1770324636&amp;sr=8-6" TargetMode="External"/><Relationship Id="rId35" Type="http://schemas.openxmlformats.org/officeDocument/2006/relationships/hyperlink" Target="https://www.mouser.com/ProductDetail/Vishay/TNPW0603240RBYEA?qs=sGAEpiMZZMtlubZbdhIBIEIUoz1ZD8I0HR6qsOGOJFk%3D" TargetMode="External"/><Relationship Id="rId34" Type="http://schemas.openxmlformats.org/officeDocument/2006/relationships/hyperlink" Target="https://www.amazon.com/Charging-Transfer-Android-Trustable-MYFON/dp/B098DW7485/ref=sr_1_4?crid=3DVYLWYL0ZV2T&amp;dib=eyJ2IjoiMSJ9.WR63mKTxAJQICRAe9uZ2ANihs0auMPjpTMif5WdPHO_YSqvvTnOvXYtMaI8txl7GNia-b6CEnDP_YcbTMrBpGfwIVCyflY-HNiEfZznsp4fmME6bjf1xO6FsfOzsf6CvUTT6ECLFJ-KzI7_-9quoeEx2ChUKwIUufo8NKtMXKdCssocUse5nK_mKGN67tfU2gllwJ7PWcH9fq1O2ZzGxcor7fKCRf89I_kLUndWoT0M.Oc88LIDC5mTtbiY7HypPskQjGT39yGQC-Yrxb7KBOuY&amp;dib_tag=se&amp;keywords=micro%2Busb%2Bcable&amp;qid=1770324799&amp;sprefix=micro%2Busb%2Bcab%2Caps%2C218&amp;sr=8-4&amp;th=1" TargetMode="External"/><Relationship Id="rId37" Type="http://schemas.openxmlformats.org/officeDocument/2006/relationships/hyperlink" Target="https://www.digikey.com/en/products/detail/stackpole-electronics-inc/RMCF0603FT1K00/1761077" TargetMode="External"/><Relationship Id="rId36" Type="http://schemas.openxmlformats.org/officeDocument/2006/relationships/hyperlink" Target="https://www.amazon.com/Syringe-Dispensing-Needles-Length-Interface/dp/B07DZC225B/ref=sr_1_3?crid=1LJAK138JTMPQ&amp;dib=eyJ2IjoiMSJ9.RR0IJRB4xxyX_98HZt7oZirA5WPOh7ksehyMstdWtXC5XTAG_ikhE8Z7m9LsB2hMt9kvap12CIDOJ9U0y8_QC2P786nyEw5r9cPOVsQ7t4i1_pBp78ToyoYP3Lb4cZ9uA883URiFuIsZoHQCk57gNCykhTPP-64HjTEicrbzxRguwqL1J0lSgR0h5yMNaCs-U_MicfVj69UG1AiCRfWSDiFfVsk74vC7bxrLOyPbNa4.w76MzJOTtb4Uyr38i6ydVwCrMRQNVGzMjLkrvc1KzKQ&amp;dib_tag=se&amp;keywords=14+gauge+syringe+needle&amp;qid=1770412723&amp;sprefix=14+gauge+syrig%2Caps%2C179&amp;sr=8-3" TargetMode="External"/><Relationship Id="rId39" Type="http://schemas.openxmlformats.org/officeDocument/2006/relationships/hyperlink" Target="https://www.mouser.com/ProductDetail/YAGEO/AR0603FR-071ML?qs=tggtontpCXN3Ykm7Gt7Sqw%3D%3D" TargetMode="External"/><Relationship Id="rId38" Type="http://schemas.openxmlformats.org/officeDocument/2006/relationships/hyperlink" Target="https://ussolid.com/products/u-s-solid-electric-solenoid-valve-1-8-12v-dc-solenoid-valve-plastic-nylon-body-normally-closed-nbr-seal-html?pr_prod_strat=e5_desc&amp;pr_rec_id=e76170d7e&amp;pr_rec_pid=8925875798271&amp;pr_ref_pid=8925880025343&amp;pr_seq=uniform" TargetMode="External"/><Relationship Id="rId20" Type="http://schemas.openxmlformats.org/officeDocument/2006/relationships/hyperlink" Target="https://www.amazon.com/DERNORD-Tubing-Flexible-Clear-Vinyl/dp/B0D7CKLDM7/ref=sr_1_2_sspa?crid=10PA8S86VIRU1&amp;dib=eyJ2IjoiMSJ9.A7HAS2uHUPJXg76WxeQ5HbJIgwEn5pa_VBrnI-_uA263Sjyxbj4EK9oWs4DaKbX2js4sx-79yune5pRKnxQzNrbJ_TC4Q267L9eW_bVks0wLlAY2lzSGT575IQq00ebL9o4HSbhr9BvkhD71gxFI89vWsfIw-JhPNtMmq6_CZ2VKBiaDR5rC0Zl4q84oDX1-tw5fNn-xjxJNWwepTemFkqCTw1gkOXah9Pgjyv-Hw9k.o9AFhyYzb_ExLVrDw0yCUH0OpocHNbiCV2L5-x4UtI4&amp;dib_tag=se&amp;keywords=PE%2Btubing%2B1%2F16%22ID&amp;qid=1770320961&amp;sprefix=pe%2Btubing%2B1%2F16%2Bid%2Caps%2C222&amp;sr=8-2-spons&amp;sp_csd=d2lkZ2V0TmFtZT1zcF9hdGY&amp;th=1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amazon.com/DERNORD-Tubing-Flexible-Clear-Vinyl/dp/B08NY3P85J/ref=sr_1_2_sspa?crid=10PA8S86VIRU1&amp;dib=eyJ2IjoiMSJ9.A7HAS2uHUPJXg76WxeQ5HbJIgwEn5pa_VBrnI-_uA263Sjyxbj4EK9oWs4DaKbX2js4sx-79yune5pRKnxQzNrbJ_TC4Q267L9eW_bVks0wLlAY2lzSGT575IQq00ebL9o4HSbhr9BvkhD71gxFI89vWsfIw-JhPNtMmq6_CZ2VKBiaDR5rC0Zl4q84oDX1-tw5fNn-xjxJNWwepTemFkqCTw1gkOXah9Pgjyv-Hw9k.o9AFhyYzb_ExLVrDw0yCUH0OpocHNbiCV2L5-x4UtI4&amp;dib_tag=se&amp;keywords=PE%2Btubing%2B1%2F16%22ID&amp;qid=1770320961&amp;sprefix=pe%2Btubing%2B1%2F16%2Bid%2Caps%2C222&amp;sr=8-2-spons&amp;sp_csd=d2lkZ2V0TmFtZT1zcF9hdGY&amp;th=1" TargetMode="External"/><Relationship Id="rId66" Type="http://schemas.openxmlformats.org/officeDocument/2006/relationships/table" Target="../tables/table3.xml"/><Relationship Id="rId21" Type="http://schemas.openxmlformats.org/officeDocument/2006/relationships/hyperlink" Target="https://www.amazon.com/BOJACK-Recovery-UF4007-Electronic-Silicon/dp/B07Q6LLGKH/ref=asc_df_B07Q6LLGKH?mcid=114b42586e3334d9a3b5288405fc546d&amp;hvocijid=6937050178830934714-B07Q6LLGKH-&amp;hvexpln=73&amp;tag=hyprod-20&amp;linkCode=df0&amp;hvadid=721245378154&amp;hvpos=&amp;hvnetw=g&amp;hvrand=6937050178830934714&amp;hvpone=&amp;hvptwo=&amp;hvqmt=&amp;hvdev=c&amp;hvdvcmdl=&amp;hvlocint=&amp;hvlocphy=9029244&amp;hvtargid=pla-2281435177618&amp;psc=1" TargetMode="External"/><Relationship Id="rId65" Type="http://schemas.openxmlformats.org/officeDocument/2006/relationships/table" Target="../tables/table2.xml"/><Relationship Id="rId24" Type="http://schemas.openxmlformats.org/officeDocument/2006/relationships/hyperlink" Target="https://www.amazon.com/Syringe-Adapter-Male-Luer-Inch-Luer-Connector-Kit/dp/B0C1FV8NGL/ref=sr_1_3?crid=28MLKCWCZH863&amp;dib=eyJ2IjoiMSJ9.eAL3cxaPxCVJaKNrcivZyaM68rZxLDqbySc3jmh-mJ-_RFqR3_CpxtdB72KmbotqcyomU9s6kJx0K8PxCSWD4Pt4Vv9LDV4jh0X0frRIVy4dPhY7UBwxrpbvj-VxKaQTiLaqUWshBK9VgOeWAjKkys6PoPJ568AkkhroxOejziUzBW8czOgi9gqvw3hmBEb3oQYBlcwDUjb36Q9r-PVcN4_afCBMd1xluoGZgrjGS3g.Lr_CyWyOOFOddCzfsphtrxIOXvyuCL5GHCPjD3cmv0k&amp;dib_tag=se&amp;keywords=3%2F16%22+male+luer+lock+barb&amp;qid=1770321373&amp;sprefix=3%2F16+maleluer+lock+barb%2Caps%2C190&amp;sr=8-3" TargetMode="External"/><Relationship Id="rId23" Type="http://schemas.openxmlformats.org/officeDocument/2006/relationships/hyperlink" Target="https://www.amazon.com/HELIFOUNER-Phillips-Screws-Kit-Stainless/dp/B0BV9CF62L/ref=sr_1_3?crid=21AWDCR1COTRG&amp;dib=eyJ2IjoiMSJ9.mJ8nMf5ZuZ7E0imUJFYecNMFuUP-99lPPw48mWx09zaA3z569HTe8oMLBZZzzxARI0x1xpMVa-i2rHrZ7Lmp1MTeRzkV01f1rxwTk5wVAyUFyL84XtUFe8lxNfBQcC8zKutth3N-BzJ5uzb3XpEkKqSz5zkh7mNBlO20EelVBYL5fHIZmW1paZfPhYiZMmsIWC1DCB900ROQCqwy0qFZyiZEgoXHtcflkqRAXjn2v8t50YI-2PX1uI1bpIVqI9s9Cg_qQf3SMHOmhmKwOgkJa7tGN8s7PyFcitjolvhpepY.2Jexjb6r2GKaP5h2A6zb_jiQhCpRc98zZVbAM0QDyGs&amp;dib_tag=se&amp;keywords=m3%2Band%2Bm4%2Bscrew%2Bkit%2Bphilips%2Bhead&amp;qid=1753986528&amp;s=industrial&amp;sprefix=m3%2Band%2Bm4%2Bscrew%2Bkit%2Bphilips%2Bhea%2Cindustrial%2C83&amp;sr=1-3&amp;th=1" TargetMode="External"/><Relationship Id="rId60" Type="http://schemas.openxmlformats.org/officeDocument/2006/relationships/vmlDrawing" Target="../drawings/vmlDrawing1.vml"/><Relationship Id="rId26" Type="http://schemas.openxmlformats.org/officeDocument/2006/relationships/hyperlink" Target="https://www.amazon.com/JoyTube-Plastic-Fittings-Adapter-Connector/dp/B08JD8LBHN/ref=sr_1_2_sspa?crid=29I910514I5FR&amp;keywords=1%2F16%22+hose+barb+luer+lock+to+npt+thread&amp;nsdOptOutParam=true&amp;qid=1770320709&amp;sprefix=1%2F16+hose+barb+luer+lock+to+npt+threa%2Caps%2C185&amp;sr=8-2-spons&amp;sp_csd=d2lkZ2V0TmFtZT1zcF9idGY&amp;psc=1" TargetMode="External"/><Relationship Id="rId25" Type="http://schemas.openxmlformats.org/officeDocument/2006/relationships/hyperlink" Target="https://www.amazon.com/HELIFOUNER-Phillips-Screws-Kit-Stainless/dp/B0BV9PHCK1/ref=sr_1_3?crid=21AWDCR1COTRG&amp;dib=eyJ2IjoiMSJ9.mJ8nMf5ZuZ7E0imUJFYecNMFuUP-99lPPw48mWx09zaA3z569HTe8oMLBZZzzxARI0x1xpMVa-i2rHrZ7Lmp1MTeRzkV01f1rxwTk5wVAyUFyL84XtUFe8lxNfBQcC8zKutth3N-BzJ5uzb3XpEkKqSz5zkh7mNBlO20EelVBYL5fHIZmW1paZfPhYiZMmsIWC1DCB900ROQCqwy0qFZyiZEgoXHtcflkqRAXjn2v8t50YI-2PX1uI1bpIVqI9s9Cg_qQf3SMHOmhmKwOgkJa7tGN8s7PyFcitjolvhpepY.2Jexjb6r2GKaP5h2A6zb_jiQhCpRc98zZVbAM0QDyGs&amp;dib_tag=se&amp;keywords=m3%2Band%2Bm4%2Bscrew%2Bkit%2Bphilips%2Bhead&amp;qid=1753986528&amp;s=industrial&amp;sprefix=m3%2Band%2Bm4%2Bscrew%2Bkit%2Bphilips%2Bhea%2Cindustrial%2C83&amp;sr=1-3&amp;th=1" TargetMode="External"/><Relationship Id="rId28" Type="http://schemas.openxmlformats.org/officeDocument/2006/relationships/hyperlink" Target="https://www.amazon.com/VSKIZ-Neodymium-Magnets-Multi-use-Whiteboard/dp/B0CZ71S57Y/ref=sr_1_3?crid=1XY6ODROZHX6V&amp;dib=eyJ2IjoiMSJ9.bvM63HGCDUlvP--AUPELP2XnDnE2VBCp5TJCZl6JDNnW3_m6gZrCGRYSrvjqeuAQ3iRjOj5Xb2LKvBqXThUrQYPWaKJPf9SRzMK12_KwiWf_Sfpn0InIKOqzj3YUpmkgCWR6__jHiFRtlFxts44RY8cf9gUZRcPfiPZMKqYt8vNlx8cLFyPYUyHq4edu6PyYytvtCwCacrRUcdlvyEaaCSYpAXx8wmQX0CAVPVA-Oko.V9_Cu5nMcOEhYb9BB0Jid65R8F7OGOF7XBdQM5ubTLw&amp;dib_tag=se&amp;keywords=6mm%2Bmagnets&amp;qid=1764879021&amp;sprefix=6mm%2Bmagnet%2Caps%2C112&amp;sr=8-3&amp;th=1" TargetMode="External"/><Relationship Id="rId27" Type="http://schemas.openxmlformats.org/officeDocument/2006/relationships/hyperlink" Target="https://open-ephys.org/fed3/fed3" TargetMode="External"/><Relationship Id="rId29" Type="http://schemas.openxmlformats.org/officeDocument/2006/relationships/hyperlink" Target="https://www.amazon.com/QMseller-Alligator-Insulated-Covered-Clamp/dp/B08MX7GXZ8/ref=sr_1_2_sspa?crid=2KRLE2B3I3XHV&amp;dib=eyJ2IjoiMSJ9.8ZOixSa3tnvrRFHTOEyPvYKhKFUzrfkpYo89LuBOKcK5wI-5UNyB9pvJplTRqMoBIff2BbyDWbQOrvcLZwtIG2lvUHlICq-V0b4TW55ewd7rp8sfA_jVUeLFeAD7FuAH5hvmkh4e03LnT2pyMAx86_Ccjj7xHYS4hF_JOeovx2fJnSEW-sFKiS52oTaMvnhAZ5aYHcbP82pv7UrgUgri4NfyOC8fBW8CL5mYukdvf8fVlW4ecOh44snzcpzCd52uoxlK8U7gfjp4gz0VvQTo2MKXFmdq4Hj7TUm7Lo0ppMk.6WpytO1T3rkNKkI7q3O345wE30KOe23fMWb6_NGTS3Q&amp;dib_tag=se&amp;keywords=alligator+clips+45mm&amp;qid=1753987011&amp;sprefix=alligator+clips+45mm+%2Caps%2C120&amp;sr=8-2-spons&amp;sp_csd=d2lkZ2V0TmFtZT1zcF9hdGY&amp;psc=1" TargetMode="External"/><Relationship Id="rId51" Type="http://schemas.openxmlformats.org/officeDocument/2006/relationships/hyperlink" Target="https://www.amazon.com/RIIEYOCA-Stereo-Equipment-Installed-Replace/dp/B09Y1BWKB5/ref=sr_1_2_sspa?crid=DQ0EAYIXG8RN&amp;dib=eyJ2IjoiMSJ9.IISCHYhXo2UTtTxnRBudP14KIaJeDET5Qh-W2zoymx34Pxlvv1mVKGa25jY9z99ywsFR4Ca9PR6RZxAomSmSZGxHomo7BZzN67u9VWF2Ht2zXcV5E-En1yeRlhyEe7aYMIsx-9hHFOirGvkvNXJ6QZlCJuy0n-8c_4Di_UX2sgFN4lKK4hb8y1mOQb-6weVJYiUkktsv-f8CG6_TreEZh5GkfqFap4hnf0mFp2ZOX2Q.oxmkxitmKaShJwZvitAyarU6TI_IsqQBsoJ5I4OG2UM&amp;dib_tag=se&amp;keywords=aux%2Bto%2Bwire&amp;qid=1770324432&amp;sprefix=aux%2Bto%2Bw%2Caps%2C203&amp;sr=8-2-spons&amp;sp_csd=d2lkZ2V0TmFtZT1zcF9hdGY&amp;th=1" TargetMode="External"/><Relationship Id="rId50" Type="http://schemas.openxmlformats.org/officeDocument/2006/relationships/hyperlink" Target="https://www.amazon.com/VSKIZ-Neodymium-Magnets-Multi-use-Whiteboard/dp/B0CZ71S57Y/ref=sr_1_3?crid=1XY6ODROZHX6V&amp;dib=eyJ2IjoiMSJ9.bvM63HGCDUlvP--AUPELP2XnDnE2VBCp5TJCZl6JDNnW3_m6gZrCGRYSrvjqeuAQ3iRjOj5Xb2LKvBqXThUrQYPWaKJPf9SRzMK12_KwiWf_Sfpn0InIKOqzj3YUpmkgCWR6__jHiFRtlFxts44RY8cf9gUZRcPfiPZMKqYt8vNlx8cLFyPYUyHq4edu6PyYytvtCwCacrRUcdlvyEaaCSYpAXx8wmQX0CAVPVA-Oko.V9_Cu5nMcOEhYb9BB0Jid65R8F7OGOF7XBdQM5ubTLw&amp;dib_tag=se&amp;keywords=6mm%2Bmagnets&amp;qid=1764879021&amp;sprefix=6mm%2Bmagnet%2Caps%2C112&amp;sr=8-3&amp;th=1" TargetMode="External"/><Relationship Id="rId53" Type="http://schemas.openxmlformats.org/officeDocument/2006/relationships/hyperlink" Target="https://www.amazon.com/Charging-Transfer-Android-Trustable-MYFON/dp/B098DW7485/ref=sr_1_4?crid=3DVYLWYL0ZV2T&amp;dib=eyJ2IjoiMSJ9.WR63mKTxAJQICRAe9uZ2ANihs0auMPjpTMif5WdPHO_YSqvvTnOvXYtMaI8txl7GNia-b6CEnDP_YcbTMrBpGfwIVCyflY-HNiEfZznsp4fmME6bjf1xO6FsfOzsf6CvUTT6ECLFJ-KzI7_-9quoeEx2ChUKwIUufo8NKtMXKdCssocUse5nK_mKGN67tfU2gllwJ7PWcH9fq1O2ZzGxcor7fKCRf89I_kLUndWoT0M.Oc88LIDC5mTtbiY7HypPskQjGT39yGQC-Yrxb7KBOuY&amp;dib_tag=se&amp;keywords=micro%2Busb%2Bcable&amp;qid=1770324799&amp;sprefix=micro%2Busb%2Bcab%2Caps%2C218&amp;sr=8-4&amp;th=1" TargetMode="External"/><Relationship Id="rId52" Type="http://schemas.openxmlformats.org/officeDocument/2006/relationships/hyperlink" Target="https://www.amazon.com/SmoTecQ-Adapter-Security-Printer-Electronics/dp/B077PW5JC3/ref=sr_1_6?dib=eyJ2IjoiMSJ9.-Sx2GM_EqNiO5vBNuKVtC15uHSv47OmNXISu2uoqnobCcKZBmIiXnxBzatqSwF8YCcx_tSO6R88frTVqq1VKWx7B9sg4FeNpYyk15lJGOc69MKAOo5xc9_2giDkuwoWyLBhqmSWwyUnhQs-yrO-Vuwu8SFMQb3AmzQSzxqsMej7l0R7nL0mKtSpY1sjSAqU8Dv1COsD6unPHSj1OyJFtT05bu4pAHU2h8MtwVXCVz4w.upsM052eBojVPSq9cqioeHsmIjiRXdIInL3ZcdmQg_A&amp;dib_tag=se&amp;keywords=arduino+power+supply+12v&amp;qid=1770324636&amp;sr=8-6" TargetMode="External"/><Relationship Id="rId11" Type="http://schemas.openxmlformats.org/officeDocument/2006/relationships/hyperlink" Target="https://www.amazon.com/Hosyond-Display-Module-Arduino-Raspberry/dp/B0BWTFN9WF/ref=sxin_15_pa_sp_search_thematic_sspa?content-id=amzn1.sym.2da95b6c-f59a-4699-bc43-d0ff036c6388%3Aamzn1.sym.2da95b6c-f59a-4699-bc43-d0ff036c6388&amp;crid=1GQF9U86Z4OGD&amp;cv_ct_cx=lcd%2Bscreen%2B16x2&amp;keywords=lcd%2Bscreen%2B16x2&amp;pd_rd_i=B0BWTFN9WF&amp;pd_rd_r=903ae0b9-b3c4-491d-a527-12607b20fb0f&amp;pd_rd_w=bekZv&amp;pd_rd_wg=cfUtx&amp;pf_rd_p=2da95b6c-f59a-4699-bc43-d0ff036c6388&amp;pf_rd_r=BHNGNSXG9FBKE95QMFWH&amp;qid=1753132241&amp;s=industrial&amp;sbo=RZvfv%2F%2FHxDF%2BO5021pAnSA%3D%3D&amp;sprefix=lcd%2Bscreen%2B16x2%2Cindustrial%2C117&amp;sr=1-1-6024b2a3-78e4-4fed-8fed-e1613be3bcce-spons&amp;sp_csd=d2lkZ2V0TmFtZT1zcF9zZWFyY2hfdGhlbWF0aWM&amp;th=1" TargetMode="External"/><Relationship Id="rId55" Type="http://schemas.openxmlformats.org/officeDocument/2006/relationships/hyperlink" Target="https://www.amazon.com/dp/B0BV94GN8M?ref=fed_asin_title" TargetMode="External"/><Relationship Id="rId10" Type="http://schemas.openxmlformats.org/officeDocument/2006/relationships/hyperlink" Target="https://www.amazon.com/Superbat-Connector-Bulkhead-Monitoring-Transceiver/dp/B09V56M8F4/ref=sr_1_1_sspa?crid=1X8MENJHSBM2F&amp;dib=eyJ2IjoiMSJ9.U-56ZdOhYHMC1cW-3v_6e5myQszpPZEYq-y9ooiIBY336_nRQ8W3CgC7YxssmOSOGg2WiePZ5VbW6WS_Cw_jjK7GWze_mQ7KBhau4EReyYvb30olH3blymOhOQS_imHPz41BWhkekWliHAuMVEnacbboivaKBO7_rXfCEfFYcvIpYQPnGBZ6lP5sgPqriZffoUSj_xufINU_i9nF3If4SSWnID4Gi1nRC2MUPbl7zHg.XkB6HVAWOwIys38fWGTXbcyPf8vlns0YTCB5qjwlc_g&amp;dib_tag=se&amp;keywords=bnc%2Bport&amp;qid=1748981334&amp;sprefix=bnc%2Bpor%2Caps%2C134&amp;sr=8-1-spons&amp;sp_csd=d2lkZ2V0TmFtZT1zcF9hdGY&amp;th=1" TargetMode="External"/><Relationship Id="rId54" Type="http://schemas.openxmlformats.org/officeDocument/2006/relationships/hyperlink" Target="https://www.amazon.com/Syringe-Dispensing-Needles-Length-Interface/dp/B07DZC225B/ref=sr_1_3?crid=1LJAK138JTMPQ&amp;dib=eyJ2IjoiMSJ9.RR0IJRB4xxyX_98HZt7oZirA5WPOh7ksehyMstdWtXC5XTAG_ikhE8Z7m9LsB2hMt9kvap12CIDOJ9U0y8_QC2P786nyEw5r9cPOVsQ7t4i1_pBp78ToyoYP3Lb4cZ9uA883URiFuIsZoHQCk57gNCykhTPP-64HjTEicrbzxRguwqL1J0lSgR0h5yMNaCs-U_MicfVj69UG1AiCRfWSDiFfVsk74vC7bxrLOyPbNa4.w76MzJOTtb4Uyr38i6ydVwCrMRQNVGzMjLkrvc1KzKQ&amp;dib_tag=se&amp;keywords=14+gauge+syringe+needle&amp;qid=1770412723&amp;sprefix=14+gauge+syrig%2Caps%2C179&amp;sr=8-3" TargetMode="External"/><Relationship Id="rId13" Type="http://schemas.openxmlformats.org/officeDocument/2006/relationships/hyperlink" Target="https://www.amazon.com/HiLetgo-Adater-Interface-Conversion-Arduino/dp/B07BJ2P6X6/ref=sr_1_3_pp?crid=3E1YDUCBX6AIN&amp;dib=eyJ2IjoiMSJ9.ZZWuzG3PmE3MEPAir7Rm9sBEg8v8aok7GY5eGrUr1O7W00kG6itXa_rXdw9xZ7dctgZJ9tz5oOf8s4I09_yhl-bcAHXoRM3HmhjEZNWTzMIv3Nb0Ii6m4mNcR-sQGKuSnDazlINFEG7TL7hNyOQaYlKP_o0YEShGpVr7y8hthJ8kvz_yQyoCseE2De7_hUc4qdPyTptIeWeXs6ZyRvqHUxwDt1n_8DsbTcC9h_BMdMc.woADO2tQkHJUfvsG9E5USPQPBDNtq67-P0Tcmc6IIhU&amp;dib_tag=se&amp;keywords=micro+sd+card+reader&amp;qid=1753132347&amp;sprefix=micro+sd+card+read%2Caps%2C120&amp;sr=8-3" TargetMode="External"/><Relationship Id="rId57" Type="http://schemas.openxmlformats.org/officeDocument/2006/relationships/hyperlink" Target="https://www.amazon.com/mxuteuk-Electronic-Computers-Printers-Components/dp/B07VK1GJ9X/ref=sr_1_4?crid=3VV0A0LZI5I3A&amp;dib=eyJ2IjoiMSJ9.wAyBeRS6gVe44PjVRBtGDCviqdUANE1xszzqKLVQD1nsj4O8BXvecSxmjKHK3C9rSoNUChpEbuDfD-4TVo8VrDGwwkAcNKfm8Efeicg5KZG3QXnlwcvhFcbGFtQQUBteTJfg7pnI2GZo0hDRjr7k7uuy-SRsZqcMROWrZaat3xFyUptGviJLmtF7vq0VEMdAbeKxExmGD6tUgw-V-wxvvIiJQFz04C2ypYWz1Qn3Hbs.V8Es85pRke9WU2bsrQdaNFSdkNxIRGPWKKTjsh9wKe8&amp;dib_tag=se&amp;keywords=piezo+buzzer&amp;qid=1754943276&amp;sprefix=piezo+buzz%2Caps%2C132&amp;sr=8-4" TargetMode="External"/><Relationship Id="rId12" Type="http://schemas.openxmlformats.org/officeDocument/2006/relationships/hyperlink" Target="https://www.amazon.com/ANMBEST-Channel-Optocoupler-Expansion-Raspberry/dp/B08PP8HXVD/ref=sr_1_3?crid=2KOI3T0TBHEF&amp;dib=eyJ2IjoiMSJ9.vzf8VvenXXtwiBMTu2pnavOqubFA3Lbc93p8PXTbEYJT9gN8-6Qj8kTiAOYhuxMGmDyj4fElo7zpkc3aVFMnGFUpOlplkXEIxUpaktXjKnveDEd6vHA2d7AQa5BUDmV_zcgHbtjpx1xNJz2J-mY9CbNxTAVkAdKdjbr4maYvsZTSPU2kH_uhIMR-1v-OP4FljiYbSdA6iBSw3Y0ESEE1FgTDhZ-NB5HR18Y5EoGesAU.mV2fBpn-SpBqeogn-sL6BvQzqXzK4DFhRbqdIMvhWjA&amp;dib_tag=se&amp;keywords=4%2B5v%2Brelay%2Bmodule&amp;qid=1753131156&amp;sprefix=4%2B5v%2Brelay%2Bmodul%2Caps%2C138&amp;sr=8-3&amp;th=1" TargetMode="External"/><Relationship Id="rId56" Type="http://schemas.openxmlformats.org/officeDocument/2006/relationships/hyperlink" Target="https://www.amazon.com/OWOFYDR-Three-Color-diodes-Cathode-Transparent/dp/B09BJ44NKZ/ref=sr_1_1_sspa?crid=FUN5OXHH1G9L&amp;dib=eyJ2IjoiMSJ9.BU4S0jVgvYFMaG3YX-8kvwPmE0zXAgVbgn4rQ4Uh1Tv-dqchU-F6914RHjXpTql88Xk0V0vTuuVS3WCyqFaa_eNhmcZbxk7OfK4bE08AiBKBNIT3B6pqY82WzaLYKy2in8fZDx9p1_HFrkmMSwW0ds7JrjqEsMfQdfQZ3eo5-Q_0FYBwQBnEA98U2OJAzs5RGtWXdDifKiBh_OE4wknu8fPC7OzuQUjij4Sq6yOTs9g.sp_fVgurVHC14gziETttr240hmuhLmIquYThGYyeovM&amp;dib_tag=se&amp;keywords=5mm%2Brgb%2Bled&amp;qid=1754943191&amp;sprefix=5mm%2Brgb%2Ble%2Caps%2C133&amp;sr=8-1-spons&amp;sp_csd=d2lkZ2V0TmFtZT1zcF9hdGY&amp;th=1" TargetMode="External"/><Relationship Id="rId15" Type="http://schemas.openxmlformats.org/officeDocument/2006/relationships/hyperlink" Target="https://www.amazon.com/AT24C32-Replace-Arduino-Batteries-Included/dp/B09LLMYBM1/ref=sr_1_1?crid=264NUMT6QGJYD&amp;dib=eyJ2IjoiMSJ9.K8vgYxMSvaoWQKoH7zrFYhMP9xTX42bMQKO3_geCD9XY2kjYC23unKINhl6VMDBoKZCeoBQ4KWElusjuj3Ih4Ii_le4fghXOZ88lF9xlu0V_Nrh3V9bE2I9DoBtLqb_9Wm7cCcF1yK0-DAOGMiEpmrQNODpZL7X53XhEuRNdtem3HivfV9I4NybkV6ySZ1RgDJngzgJnsCAT75zCi_ae-snLbLW-JQz20tFKuOUJ2vc.QQlKgjEPE4PU_OB4YFZsl02_MhOxdLqWD67n4uJerRs&amp;dib_tag=se&amp;keywords=rtc%2Bmodule%2Bds1307&amp;qid=1753132668&amp;sprefix=rtc%2Bmodule%2Bds1307%2Caps%2C132&amp;sr=8-1&amp;th=1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amazon.com/Hosyond-Display-Module-Arduino-Raspberry/dp/B0BWTFN9WF/ref=sxin_15_pa_sp_search_thematic_sspa?content-id=amzn1.sym.2da95b6c-f59a-4699-bc43-d0ff036c6388%3Aamzn1.sym.2da95b6c-f59a-4699-bc43-d0ff036c6388&amp;crid=1GQF9U86Z4OGD&amp;cv_ct_cx=lcd%2Bscreen%2B16x2&amp;keywords=lcd%2Bscreen%2B16x2&amp;pd_rd_i=B0BWTFN9WF&amp;pd_rd_r=903ae0b9-b3c4-491d-a527-12607b20fb0f&amp;pd_rd_w=bekZv&amp;pd_rd_wg=cfUtx&amp;pf_rd_p=2da95b6c-f59a-4699-bc43-d0ff036c6388&amp;pf_rd_r=BHNGNSXG9FBKE95QMFWH&amp;qid=1753132241&amp;s=industrial&amp;sbo=RZvfv%2F%2FHxDF%2BO5021pAnSA%3D%3D&amp;sprefix=lcd%2Bscreen%2B16x2%2Cindustrial%2C117&amp;sr=1-1-6024b2a3-78e4-4fed-8fed-e1613be3bcce-spons&amp;sp_csd=d2lkZ2V0TmFtZT1zcF9zZWFyY2hfdGhlbWF0aWM&amp;th=1" TargetMode="External"/><Relationship Id="rId58" Type="http://schemas.openxmlformats.org/officeDocument/2006/relationships/hyperlink" Target="https://www.coleparmer.com/i/cole-parmer-luer-to-hose-barb-fitting-straight-adapter-white-nylon-cleanroom-packed-rotating-male-luer-lock-x-1-16-id-10-pk/5011507?PubID=UX&amp;persist=true&amp;ip=no&amp;srsltid=AfmBOoqURam3O5a8tM3VdFv_2OQyP0FS_858nnFJ64XOwdoyeUqIpict8ks" TargetMode="External"/><Relationship Id="rId17" Type="http://schemas.openxmlformats.org/officeDocument/2006/relationships/hyperlink" Target="https://www.amazon.com/KEXIN-Adapter-microSDHC-Smartphone-Console/dp/B0D5H9YV1V/ref=sr_1_3?crid=1W6BS7CFS5THO&amp;dib=eyJ2IjoiMSJ9.CjdDY7Lmv3vS51oBzYlUpU4QpVEZ9--qpgSOxgICDRYd2sqTphzRTlgg1dKYVkA1nuGKUQyfs21S1au4whMIZv2CkSbWPMiiUi7uQlgBJreXxaStCFSD1fMdLv8NzGD9knsjbOnTEs2-bHVEhDFfwuoFUBpT8O7VfEE4JC2KcONTkGUrxU_fvDti6s20or7gKHCeyoHInKQEu8KvSfEGUm-PSk5hJfBrQP4984kDCH0.wO_dS4pSSrDYBDX3cqeZVQaRerzwdfqhrRE0eAMBHOY&amp;dib_tag=se&amp;keywords=micro%2Bsd%2Bcards%2B16gb&amp;qid=1753133417&amp;sprefix=micro%2Bsd%2Bcards%2B16gb%2Caps%2C131&amp;sr=8-3&amp;th=1" TargetMode="External"/><Relationship Id="rId16" Type="http://schemas.openxmlformats.org/officeDocument/2006/relationships/hyperlink" Target="https://www.amazon.com/HiLetgo-Adater-Interface-Conversion-Arduino/dp/B07BJ2P6X6/ref=sr_1_3_pp?crid=3E1YDUCBX6AIN&amp;dib=eyJ2IjoiMSJ9.ZZWuzG3PmE3MEPAir7Rm9sBEg8v8aok7GY5eGrUr1O7W00kG6itXa_rXdw9xZ7dctgZJ9tz5oOf8s4I09_yhl-bcAHXoRM3HmhjEZNWTzMIv3Nb0Ii6m4mNcR-sQGKuSnDazlINFEG7TL7hNyOQaYlKP_o0YEShGpVr7y8hthJ8kvz_yQyoCseE2De7_hUc4qdPyTptIeWeXs6ZyRvqHUxwDt1n_8DsbTcC9h_BMdMc.woADO2tQkHJUfvsG9E5USPQPBDNtq67-P0Tcmc6IIhU&amp;dib_tag=se&amp;keywords=micro+sd+card+reader&amp;qid=1753132347&amp;sprefix=micro+sd+card+read%2Caps%2C120&amp;sr=8-3" TargetMode="External"/><Relationship Id="rId19" Type="http://schemas.openxmlformats.org/officeDocument/2006/relationships/hyperlink" Target="https://www.amazon.com/Clear-Acrylic-Sheet-Plexiglass-Thick/dp/B07GLF88XP" TargetMode="External"/><Relationship Id="rId18" Type="http://schemas.openxmlformats.org/officeDocument/2006/relationships/hyperlink" Target="https://www.amazon.com/AT24C32-Replace-Arduino-Batteries-Included/dp/B09LLMYBM1/ref=sr_1_1?crid=264NUMT6QGJYD&amp;dib=eyJ2IjoiMSJ9.K8vgYxMSvaoWQKoH7zrFYhMP9xTX42bMQKO3_geCD9XY2kjYC23unKINhl6VMDBoKZCeoBQ4KWElusjuj3Ih4Ii_le4fghXOZ88lF9xlu0V_Nrh3V9bE2I9DoBtLqb_9Wm7cCcF1yK0-DAOGMiEpmrQNODpZL7X53XhEuRNdtem3HivfV9I4NybkV6ySZ1RgDJngzgJnsCAT75zCi_ae-snLbLW-JQz20tFKuOUJ2vc.QQlKgjEPE4PU_OB4YFZsl02_MhOxdLqWD67n4uJerRs&amp;dib_tag=se&amp;keywords=rtc%2Bmodule%2Bds1307&amp;qid=1753132668&amp;sprefix=rtc%2Bmodule%2Bds1307%2Caps%2C132&amp;sr=8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3" max="3" width="15.5"/>
    <col customWidth="1" min="4" max="4" width="14.13"/>
    <col customWidth="1" min="5" max="5" width="14.88"/>
    <col customWidth="1" min="7" max="7" width="19.75"/>
    <col customWidth="1" min="8" max="8" width="28.63"/>
    <col customWidth="1" min="9" max="9" width="29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22.5" customHeight="1">
      <c r="A2" s="8" t="s">
        <v>7</v>
      </c>
      <c r="B2" s="9">
        <v>1.0</v>
      </c>
      <c r="C2" s="10">
        <v>1.0</v>
      </c>
      <c r="D2" s="11">
        <v>22.99</v>
      </c>
      <c r="E2" s="11">
        <f t="shared" ref="E2:E45" si="1">D2/(B2/C2)</f>
        <v>22.99</v>
      </c>
      <c r="F2" s="12" t="s">
        <v>8</v>
      </c>
      <c r="G2" s="13">
        <f>E2</f>
        <v>22.99</v>
      </c>
      <c r="H2" s="14" t="s">
        <v>9</v>
      </c>
      <c r="N2" s="15"/>
      <c r="O2" s="16"/>
      <c r="P2" s="17"/>
      <c r="Q2" s="1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2.5" customHeight="1">
      <c r="A3" s="8" t="s">
        <v>10</v>
      </c>
      <c r="B3" s="18">
        <v>3.0</v>
      </c>
      <c r="C3" s="10">
        <v>1.0</v>
      </c>
      <c r="D3" s="11">
        <v>15.99</v>
      </c>
      <c r="E3" s="11">
        <f t="shared" si="1"/>
        <v>5.33</v>
      </c>
      <c r="F3" s="12" t="s">
        <v>8</v>
      </c>
      <c r="G3" s="19">
        <v>0.0</v>
      </c>
      <c r="H3" s="20"/>
      <c r="I3" s="15"/>
      <c r="J3" s="15"/>
      <c r="K3" s="15"/>
      <c r="L3" s="15"/>
      <c r="M3" s="15"/>
      <c r="N3" s="15"/>
      <c r="O3" s="16"/>
      <c r="P3" s="17"/>
      <c r="Q3" s="1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2.5" customHeight="1">
      <c r="A4" s="8" t="s">
        <v>11</v>
      </c>
      <c r="B4" s="18">
        <v>5.0</v>
      </c>
      <c r="C4" s="10">
        <v>5.0</v>
      </c>
      <c r="D4" s="21">
        <v>10.99</v>
      </c>
      <c r="E4" s="11">
        <f t="shared" si="1"/>
        <v>10.99</v>
      </c>
      <c r="F4" s="12" t="s">
        <v>8</v>
      </c>
      <c r="G4" s="13">
        <f>E4</f>
        <v>10.99</v>
      </c>
      <c r="H4" s="20"/>
      <c r="I4" s="14" t="s">
        <v>0</v>
      </c>
      <c r="J4" s="14" t="s">
        <v>1</v>
      </c>
      <c r="K4" s="14" t="s">
        <v>3</v>
      </c>
      <c r="L4" s="14" t="s">
        <v>12</v>
      </c>
      <c r="M4" s="14" t="s">
        <v>5</v>
      </c>
      <c r="N4" s="15"/>
      <c r="O4" s="16"/>
      <c r="P4" s="17"/>
      <c r="Q4" s="1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>
      <c r="A5" s="8" t="s">
        <v>13</v>
      </c>
      <c r="B5" s="9">
        <v>1.0</v>
      </c>
      <c r="C5" s="10">
        <v>0.1</v>
      </c>
      <c r="D5" s="21">
        <v>15.69</v>
      </c>
      <c r="E5" s="11">
        <f t="shared" si="1"/>
        <v>1.569</v>
      </c>
      <c r="F5" s="12" t="s">
        <v>8</v>
      </c>
      <c r="G5" s="19">
        <v>0.0</v>
      </c>
      <c r="H5" s="20"/>
      <c r="I5" s="7" t="s">
        <v>7</v>
      </c>
      <c r="J5" s="22">
        <v>3.0</v>
      </c>
      <c r="K5" s="23">
        <v>22.99</v>
      </c>
      <c r="L5" s="23">
        <f t="shared" ref="L5:L23" si="2">J5*K5</f>
        <v>68.97</v>
      </c>
      <c r="M5" s="24" t="s">
        <v>8</v>
      </c>
      <c r="N5" s="15"/>
      <c r="O5" s="16"/>
      <c r="P5" s="17"/>
      <c r="Q5" s="1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>
      <c r="A6" s="8" t="s">
        <v>14</v>
      </c>
      <c r="B6" s="18">
        <v>2.0</v>
      </c>
      <c r="C6" s="10">
        <v>1.0</v>
      </c>
      <c r="D6" s="11">
        <v>9.99</v>
      </c>
      <c r="E6" s="11">
        <f t="shared" si="1"/>
        <v>4.995</v>
      </c>
      <c r="F6" s="12" t="s">
        <v>8</v>
      </c>
      <c r="G6" s="19">
        <v>0.0</v>
      </c>
      <c r="I6" s="7" t="s">
        <v>10</v>
      </c>
      <c r="J6" s="22">
        <v>1.0</v>
      </c>
      <c r="K6" s="23">
        <v>15.99</v>
      </c>
      <c r="L6" s="23">
        <f t="shared" si="2"/>
        <v>15.99</v>
      </c>
      <c r="M6" s="24" t="s">
        <v>8</v>
      </c>
      <c r="N6" s="15"/>
      <c r="O6" s="16"/>
      <c r="P6" s="17"/>
      <c r="Q6" s="1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8" t="s">
        <v>15</v>
      </c>
      <c r="B7" s="9">
        <v>1.0</v>
      </c>
      <c r="C7" s="10">
        <v>0.01</v>
      </c>
      <c r="D7" s="11">
        <v>5.99</v>
      </c>
      <c r="E7" s="11">
        <f t="shared" si="1"/>
        <v>0.0599</v>
      </c>
      <c r="F7" s="12" t="s">
        <v>8</v>
      </c>
      <c r="G7" s="19">
        <v>0.0</v>
      </c>
      <c r="I7" s="7" t="s">
        <v>11</v>
      </c>
      <c r="J7" s="22">
        <v>2.0</v>
      </c>
      <c r="K7" s="25">
        <v>10.99</v>
      </c>
      <c r="L7" s="23">
        <f t="shared" si="2"/>
        <v>21.98</v>
      </c>
      <c r="M7" s="24" t="s">
        <v>8</v>
      </c>
      <c r="N7" s="15"/>
      <c r="O7" s="16"/>
      <c r="P7" s="17"/>
      <c r="Q7" s="1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8" t="s">
        <v>16</v>
      </c>
      <c r="B8" s="18">
        <v>3.0</v>
      </c>
      <c r="C8" s="10">
        <v>1.0</v>
      </c>
      <c r="D8" s="11">
        <v>12.99</v>
      </c>
      <c r="E8" s="11">
        <f t="shared" si="1"/>
        <v>4.33</v>
      </c>
      <c r="F8" s="12" t="s">
        <v>8</v>
      </c>
      <c r="G8" s="19">
        <v>0.0</v>
      </c>
      <c r="H8" s="20"/>
      <c r="I8" s="7" t="s">
        <v>14</v>
      </c>
      <c r="J8" s="22">
        <v>2.0</v>
      </c>
      <c r="K8" s="23">
        <v>9.99</v>
      </c>
      <c r="L8" s="23">
        <f t="shared" si="2"/>
        <v>19.98</v>
      </c>
      <c r="M8" s="24" t="s">
        <v>8</v>
      </c>
      <c r="N8" s="15"/>
      <c r="O8" s="16"/>
      <c r="P8" s="17"/>
      <c r="Q8" s="1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8" t="s">
        <v>17</v>
      </c>
      <c r="B9" s="18">
        <v>5.0</v>
      </c>
      <c r="C9" s="10">
        <v>1.0</v>
      </c>
      <c r="D9" s="11">
        <v>6.99</v>
      </c>
      <c r="E9" s="11">
        <f t="shared" si="1"/>
        <v>1.398</v>
      </c>
      <c r="F9" s="12" t="s">
        <v>8</v>
      </c>
      <c r="G9" s="19">
        <v>0.0</v>
      </c>
      <c r="H9" s="20"/>
      <c r="I9" s="7" t="s">
        <v>16</v>
      </c>
      <c r="J9" s="22">
        <v>1.0</v>
      </c>
      <c r="K9" s="23">
        <v>12.99</v>
      </c>
      <c r="L9" s="23">
        <f t="shared" si="2"/>
        <v>12.99</v>
      </c>
      <c r="M9" s="24" t="s">
        <v>8</v>
      </c>
      <c r="N9" s="15"/>
      <c r="O9" s="16"/>
      <c r="P9" s="17"/>
      <c r="Q9" s="1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>
      <c r="A10" s="26" t="s">
        <v>18</v>
      </c>
      <c r="B10" s="18">
        <v>2.0</v>
      </c>
      <c r="C10" s="10">
        <v>1.0</v>
      </c>
      <c r="D10" s="21">
        <v>6.59</v>
      </c>
      <c r="E10" s="11">
        <f t="shared" si="1"/>
        <v>3.295</v>
      </c>
      <c r="F10" s="12" t="s">
        <v>8</v>
      </c>
      <c r="G10" s="19">
        <v>0.0</v>
      </c>
      <c r="H10" s="7"/>
      <c r="I10" s="7" t="s">
        <v>17</v>
      </c>
      <c r="J10" s="22">
        <v>1.0</v>
      </c>
      <c r="K10" s="23">
        <v>6.99</v>
      </c>
      <c r="L10" s="23">
        <f t="shared" si="2"/>
        <v>6.99</v>
      </c>
      <c r="M10" s="24" t="s">
        <v>8</v>
      </c>
      <c r="N10" s="15"/>
      <c r="O10" s="16"/>
      <c r="P10" s="17"/>
      <c r="Q10" s="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>
      <c r="A11" s="26" t="s">
        <v>19</v>
      </c>
      <c r="B11" s="18">
        <v>10.0</v>
      </c>
      <c r="C11" s="10">
        <v>1.0</v>
      </c>
      <c r="D11" s="11">
        <v>33.39</v>
      </c>
      <c r="E11" s="11">
        <f t="shared" si="1"/>
        <v>3.339</v>
      </c>
      <c r="F11" s="12" t="s">
        <v>8</v>
      </c>
      <c r="G11" s="19">
        <v>0.0</v>
      </c>
      <c r="H11" s="7"/>
      <c r="I11" s="20" t="s">
        <v>18</v>
      </c>
      <c r="J11" s="22">
        <v>2.0</v>
      </c>
      <c r="K11" s="25">
        <v>6.59</v>
      </c>
      <c r="L11" s="23">
        <f t="shared" si="2"/>
        <v>13.18</v>
      </c>
      <c r="M11" s="24" t="s">
        <v>8</v>
      </c>
      <c r="N11" s="15"/>
      <c r="O11" s="17"/>
      <c r="P11" s="17"/>
      <c r="Q11" s="1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>
      <c r="A12" s="8" t="s">
        <v>20</v>
      </c>
      <c r="B12" s="18">
        <v>5.0</v>
      </c>
      <c r="C12" s="10">
        <v>5.0</v>
      </c>
      <c r="D12" s="11">
        <f>12.99*B12</f>
        <v>64.95</v>
      </c>
      <c r="E12" s="11">
        <f t="shared" si="1"/>
        <v>64.95</v>
      </c>
      <c r="F12" s="12" t="s">
        <v>8</v>
      </c>
      <c r="G12" s="13">
        <f>E12</f>
        <v>64.95</v>
      </c>
      <c r="H12" s="7"/>
      <c r="I12" s="14" t="s">
        <v>21</v>
      </c>
      <c r="J12" s="27">
        <v>1.0</v>
      </c>
      <c r="K12" s="28">
        <v>24.99</v>
      </c>
      <c r="L12" s="23">
        <f t="shared" si="2"/>
        <v>24.99</v>
      </c>
      <c r="M12" s="24" t="s">
        <v>8</v>
      </c>
      <c r="N12" s="15"/>
      <c r="O12" s="17"/>
      <c r="P12" s="17"/>
      <c r="Q12" s="1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2.5" customHeight="1">
      <c r="A13" s="26" t="s">
        <v>22</v>
      </c>
      <c r="B13" s="18">
        <v>125.0</v>
      </c>
      <c r="C13" s="10">
        <v>5.0</v>
      </c>
      <c r="D13" s="21">
        <v>5.99</v>
      </c>
      <c r="E13" s="11">
        <f t="shared" si="1"/>
        <v>0.2396</v>
      </c>
      <c r="F13" s="12" t="s">
        <v>8</v>
      </c>
      <c r="G13" s="13">
        <v>0.0</v>
      </c>
      <c r="I13" s="14" t="s">
        <v>23</v>
      </c>
      <c r="J13" s="27">
        <v>1.0</v>
      </c>
      <c r="K13" s="28">
        <v>21.99</v>
      </c>
      <c r="L13" s="23">
        <f t="shared" si="2"/>
        <v>21.99</v>
      </c>
      <c r="M13" s="24" t="s">
        <v>8</v>
      </c>
      <c r="N13" s="15"/>
      <c r="O13" s="17"/>
      <c r="P13" s="17"/>
      <c r="Q13" s="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2.5" customHeight="1">
      <c r="A14" s="26" t="s">
        <v>24</v>
      </c>
      <c r="B14" s="18">
        <v>40.0</v>
      </c>
      <c r="C14" s="10">
        <v>8.0</v>
      </c>
      <c r="D14" s="21">
        <v>5.99</v>
      </c>
      <c r="E14" s="11">
        <f t="shared" si="1"/>
        <v>1.198</v>
      </c>
      <c r="F14" s="12" t="s">
        <v>8</v>
      </c>
      <c r="G14" s="13">
        <v>0.0</v>
      </c>
      <c r="H14" s="24"/>
      <c r="I14" s="14" t="s">
        <v>25</v>
      </c>
      <c r="J14" s="27">
        <v>1.0</v>
      </c>
      <c r="K14" s="28">
        <v>7.99</v>
      </c>
      <c r="L14" s="23">
        <f t="shared" si="2"/>
        <v>7.99</v>
      </c>
      <c r="M14" s="24" t="s">
        <v>8</v>
      </c>
      <c r="N14" s="15"/>
      <c r="O14" s="17"/>
      <c r="P14" s="17"/>
      <c r="Q14" s="1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2.5" customHeight="1">
      <c r="A15" s="26" t="s">
        <v>26</v>
      </c>
      <c r="B15" s="18">
        <v>40.0</v>
      </c>
      <c r="C15" s="10">
        <v>2.0</v>
      </c>
      <c r="D15" s="21">
        <v>5.99</v>
      </c>
      <c r="E15" s="11">
        <f t="shared" si="1"/>
        <v>0.2995</v>
      </c>
      <c r="F15" s="12" t="s">
        <v>8</v>
      </c>
      <c r="G15" s="13">
        <v>0.0</v>
      </c>
      <c r="H15" s="24"/>
      <c r="I15" s="14" t="s">
        <v>27</v>
      </c>
      <c r="J15" s="27">
        <v>1.0</v>
      </c>
      <c r="K15" s="28">
        <v>7.99</v>
      </c>
      <c r="L15" s="23">
        <f t="shared" si="2"/>
        <v>7.99</v>
      </c>
      <c r="M15" s="24" t="s">
        <v>8</v>
      </c>
      <c r="N15" s="15"/>
      <c r="O15" s="17"/>
      <c r="P15" s="17"/>
      <c r="Q15" s="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2.5" customHeight="1">
      <c r="A16" s="26" t="s">
        <v>28</v>
      </c>
      <c r="B16" s="18">
        <v>1.0</v>
      </c>
      <c r="C16" s="10">
        <v>1.0</v>
      </c>
      <c r="D16" s="21">
        <v>650.0</v>
      </c>
      <c r="E16" s="11">
        <f t="shared" si="1"/>
        <v>650</v>
      </c>
      <c r="F16" s="12" t="s">
        <v>8</v>
      </c>
      <c r="G16" s="13">
        <f>E16</f>
        <v>650</v>
      </c>
      <c r="H16" s="24"/>
      <c r="I16" s="14" t="s">
        <v>29</v>
      </c>
      <c r="J16" s="27">
        <v>1.0</v>
      </c>
      <c r="K16" s="28">
        <v>9.99</v>
      </c>
      <c r="L16" s="23">
        <f t="shared" si="2"/>
        <v>9.99</v>
      </c>
      <c r="M16" s="24" t="s">
        <v>8</v>
      </c>
      <c r="N16" s="15"/>
      <c r="O16" s="17"/>
      <c r="P16" s="17"/>
      <c r="Q16" s="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2.5" customHeight="1">
      <c r="A17" s="26" t="s">
        <v>30</v>
      </c>
      <c r="B17" s="18">
        <v>20.0</v>
      </c>
      <c r="C17" s="10">
        <v>3.0</v>
      </c>
      <c r="D17" s="21">
        <v>7.88</v>
      </c>
      <c r="E17" s="11">
        <f t="shared" si="1"/>
        <v>1.182</v>
      </c>
      <c r="F17" s="12" t="s">
        <v>8</v>
      </c>
      <c r="G17" s="19">
        <v>0.0</v>
      </c>
      <c r="H17" s="24"/>
      <c r="I17" s="14" t="s">
        <v>31</v>
      </c>
      <c r="J17" s="27">
        <v>1.0</v>
      </c>
      <c r="K17" s="28">
        <v>8.99</v>
      </c>
      <c r="L17" s="23">
        <f t="shared" si="2"/>
        <v>8.99</v>
      </c>
      <c r="M17" s="24" t="s">
        <v>8</v>
      </c>
      <c r="N17" s="15"/>
      <c r="O17" s="17"/>
      <c r="P17" s="17"/>
      <c r="Q17" s="1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2.5" customHeight="1">
      <c r="A18" s="26" t="s">
        <v>32</v>
      </c>
      <c r="B18" s="18">
        <v>20.0</v>
      </c>
      <c r="C18" s="10">
        <v>3.0</v>
      </c>
      <c r="D18" s="21">
        <v>7.88</v>
      </c>
      <c r="E18" s="11">
        <f t="shared" si="1"/>
        <v>1.182</v>
      </c>
      <c r="F18" s="12" t="s">
        <v>8</v>
      </c>
      <c r="G18" s="19">
        <v>0.0</v>
      </c>
      <c r="H18" s="24"/>
      <c r="I18" s="20" t="s">
        <v>33</v>
      </c>
      <c r="J18" s="27">
        <v>2.0</v>
      </c>
      <c r="K18" s="28">
        <v>9.99</v>
      </c>
      <c r="L18" s="23">
        <f t="shared" si="2"/>
        <v>19.98</v>
      </c>
      <c r="M18" s="24" t="s">
        <v>8</v>
      </c>
      <c r="N18" s="15"/>
      <c r="O18" s="17"/>
      <c r="P18" s="17"/>
      <c r="Q18" s="1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2.5" customHeight="1">
      <c r="A19" s="29" t="s">
        <v>34</v>
      </c>
      <c r="B19" s="30">
        <v>3.0</v>
      </c>
      <c r="C19" s="31">
        <v>3.0</v>
      </c>
      <c r="D19" s="32">
        <v>210.0</v>
      </c>
      <c r="E19" s="11">
        <f t="shared" si="1"/>
        <v>210</v>
      </c>
      <c r="F19" s="12" t="s">
        <v>8</v>
      </c>
      <c r="G19" s="13">
        <f>E19</f>
        <v>210</v>
      </c>
      <c r="H19" s="24"/>
      <c r="I19" s="20" t="s">
        <v>35</v>
      </c>
      <c r="J19" s="27">
        <v>2.0</v>
      </c>
      <c r="K19" s="28">
        <v>5.99</v>
      </c>
      <c r="L19" s="23">
        <f t="shared" si="2"/>
        <v>11.98</v>
      </c>
      <c r="M19" s="24" t="s">
        <v>8</v>
      </c>
      <c r="N19" s="15"/>
      <c r="O19" s="17"/>
      <c r="P19" s="17"/>
      <c r="Q19" s="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2.5" customHeight="1">
      <c r="A20" s="29" t="s">
        <v>36</v>
      </c>
      <c r="B20" s="30">
        <v>100.0</v>
      </c>
      <c r="C20" s="31">
        <v>9.0</v>
      </c>
      <c r="D20" s="32">
        <v>38.0</v>
      </c>
      <c r="E20" s="11">
        <f t="shared" si="1"/>
        <v>3.42</v>
      </c>
      <c r="F20" s="12" t="s">
        <v>8</v>
      </c>
      <c r="G20" s="19">
        <v>0.0</v>
      </c>
      <c r="H20" s="24"/>
      <c r="I20" s="20" t="s">
        <v>37</v>
      </c>
      <c r="J20" s="27">
        <v>1.0</v>
      </c>
      <c r="K20" s="28">
        <v>8.99</v>
      </c>
      <c r="L20" s="23">
        <f t="shared" si="2"/>
        <v>8.99</v>
      </c>
      <c r="M20" s="33" t="s">
        <v>8</v>
      </c>
      <c r="N20" s="15"/>
      <c r="O20" s="17"/>
      <c r="P20" s="17"/>
      <c r="Q20" s="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2.5" customHeight="1">
      <c r="A21" s="29" t="s">
        <v>38</v>
      </c>
      <c r="B21" s="30">
        <v>100.0</v>
      </c>
      <c r="C21" s="31">
        <v>1.0</v>
      </c>
      <c r="D21" s="32">
        <v>0.57</v>
      </c>
      <c r="E21" s="11">
        <f t="shared" si="1"/>
        <v>0.0057</v>
      </c>
      <c r="F21" s="12" t="s">
        <v>8</v>
      </c>
      <c r="G21" s="19">
        <v>0.0</v>
      </c>
      <c r="H21" s="34"/>
      <c r="I21" s="14" t="s">
        <v>39</v>
      </c>
      <c r="J21" s="27">
        <v>1.0</v>
      </c>
      <c r="K21" s="28">
        <v>12.47</v>
      </c>
      <c r="L21" s="23">
        <f t="shared" si="2"/>
        <v>12.47</v>
      </c>
      <c r="M21" s="24" t="s">
        <v>8</v>
      </c>
      <c r="N21" s="17"/>
      <c r="O21" s="17"/>
      <c r="P21" s="17"/>
      <c r="Q21" s="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2.5" customHeight="1">
      <c r="A22" s="29" t="s">
        <v>40</v>
      </c>
      <c r="B22" s="30">
        <v>100.0</v>
      </c>
      <c r="C22" s="31">
        <v>3.0</v>
      </c>
      <c r="D22" s="32">
        <v>15.0</v>
      </c>
      <c r="E22" s="11">
        <f t="shared" si="1"/>
        <v>0.45</v>
      </c>
      <c r="F22" s="12" t="s">
        <v>8</v>
      </c>
      <c r="G22" s="19">
        <v>0.0</v>
      </c>
      <c r="H22" s="34"/>
      <c r="I22" s="20" t="s">
        <v>41</v>
      </c>
      <c r="J22" s="27">
        <v>5.0</v>
      </c>
      <c r="K22" s="28">
        <v>9.98</v>
      </c>
      <c r="L22" s="23">
        <f t="shared" si="2"/>
        <v>49.9</v>
      </c>
      <c r="M22" s="33" t="s">
        <v>8</v>
      </c>
      <c r="N22" s="15"/>
      <c r="O22" s="17"/>
      <c r="P22" s="34"/>
      <c r="Q22" s="34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2.5" customHeight="1">
      <c r="A23" s="29" t="s">
        <v>42</v>
      </c>
      <c r="B23" s="30">
        <v>50.0</v>
      </c>
      <c r="C23" s="31">
        <v>6.0</v>
      </c>
      <c r="D23" s="32">
        <v>14.99</v>
      </c>
      <c r="E23" s="11">
        <f t="shared" si="1"/>
        <v>1.7988</v>
      </c>
      <c r="F23" s="12" t="s">
        <v>8</v>
      </c>
      <c r="G23" s="19">
        <v>0.0</v>
      </c>
      <c r="H23" s="7"/>
      <c r="I23" s="20" t="s">
        <v>43</v>
      </c>
      <c r="J23" s="14">
        <v>3.0</v>
      </c>
      <c r="K23" s="28">
        <v>4.99</v>
      </c>
      <c r="L23" s="23">
        <f t="shared" si="2"/>
        <v>14.97</v>
      </c>
      <c r="M23" s="35" t="s">
        <v>8</v>
      </c>
      <c r="N23" s="17"/>
      <c r="O23" s="1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2.5" customHeight="1">
      <c r="A24" s="29" t="s">
        <v>39</v>
      </c>
      <c r="B24" s="30">
        <v>1.0</v>
      </c>
      <c r="C24" s="31">
        <v>3.0</v>
      </c>
      <c r="D24" s="32">
        <v>12.47</v>
      </c>
      <c r="E24" s="11">
        <f t="shared" si="1"/>
        <v>37.41</v>
      </c>
      <c r="F24" s="12" t="s">
        <v>8</v>
      </c>
      <c r="G24" s="13">
        <f>E24</f>
        <v>37.41</v>
      </c>
      <c r="H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2.5" customHeight="1">
      <c r="A25" s="29" t="s">
        <v>21</v>
      </c>
      <c r="B25" s="30">
        <v>100.0</v>
      </c>
      <c r="C25" s="31">
        <v>10.0</v>
      </c>
      <c r="D25" s="32">
        <v>24.99</v>
      </c>
      <c r="E25" s="11">
        <f t="shared" si="1"/>
        <v>2.499</v>
      </c>
      <c r="F25" s="12" t="s">
        <v>8</v>
      </c>
      <c r="G25" s="19">
        <v>0.0</v>
      </c>
      <c r="H25" s="7"/>
      <c r="I25" s="36" t="s">
        <v>44</v>
      </c>
      <c r="J25" s="37">
        <f t="shared" ref="J25:L25" si="3">SUM(J5:J21)</f>
        <v>24</v>
      </c>
      <c r="K25" s="38">
        <f t="shared" si="3"/>
        <v>205.91</v>
      </c>
      <c r="L25" s="39">
        <f t="shared" si="3"/>
        <v>295.44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2.5" customHeight="1">
      <c r="A26" s="29" t="s">
        <v>23</v>
      </c>
      <c r="B26" s="30">
        <v>100.0</v>
      </c>
      <c r="C26" s="31">
        <v>2.0</v>
      </c>
      <c r="D26" s="32">
        <v>21.99</v>
      </c>
      <c r="E26" s="11">
        <f t="shared" si="1"/>
        <v>0.4398</v>
      </c>
      <c r="F26" s="12" t="s">
        <v>8</v>
      </c>
      <c r="G26" s="19">
        <v>0.0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2.5" customHeight="1">
      <c r="A27" s="29" t="s">
        <v>25</v>
      </c>
      <c r="B27" s="30">
        <v>30.0</v>
      </c>
      <c r="C27" s="31">
        <v>6.0</v>
      </c>
      <c r="D27" s="32">
        <v>7.99</v>
      </c>
      <c r="E27" s="11">
        <f t="shared" si="1"/>
        <v>1.598</v>
      </c>
      <c r="F27" s="12" t="s">
        <v>8</v>
      </c>
      <c r="G27" s="19">
        <v>0.0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2.5" customHeight="1">
      <c r="A28" s="29" t="s">
        <v>45</v>
      </c>
      <c r="B28" s="30">
        <v>30.0</v>
      </c>
      <c r="C28" s="31">
        <v>3.0</v>
      </c>
      <c r="D28" s="32">
        <v>8.79</v>
      </c>
      <c r="E28" s="11">
        <f t="shared" si="1"/>
        <v>0.879</v>
      </c>
      <c r="F28" s="12" t="s">
        <v>8</v>
      </c>
      <c r="G28" s="19">
        <v>0.0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2.5" customHeight="1">
      <c r="A29" s="29" t="s">
        <v>46</v>
      </c>
      <c r="B29" s="30">
        <v>30.0</v>
      </c>
      <c r="C29" s="31">
        <v>3.0</v>
      </c>
      <c r="D29" s="32">
        <v>7.79</v>
      </c>
      <c r="E29" s="11">
        <f t="shared" si="1"/>
        <v>0.779</v>
      </c>
      <c r="F29" s="12" t="s">
        <v>8</v>
      </c>
      <c r="G29" s="19">
        <v>0.0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2.5" customHeight="1">
      <c r="A30" s="29" t="s">
        <v>27</v>
      </c>
      <c r="B30" s="30">
        <v>6.0</v>
      </c>
      <c r="C30" s="31">
        <v>6.0</v>
      </c>
      <c r="D30" s="32">
        <v>7.99</v>
      </c>
      <c r="E30" s="11">
        <f t="shared" si="1"/>
        <v>7.99</v>
      </c>
      <c r="F30" s="12" t="s">
        <v>8</v>
      </c>
      <c r="G30" s="13">
        <f>E30</f>
        <v>7.99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2.5" customHeight="1">
      <c r="A31" s="29" t="s">
        <v>47</v>
      </c>
      <c r="B31" s="30">
        <v>5.0</v>
      </c>
      <c r="C31" s="31">
        <v>1.0</v>
      </c>
      <c r="D31" s="32">
        <v>60.23</v>
      </c>
      <c r="E31" s="11">
        <f t="shared" si="1"/>
        <v>12.046</v>
      </c>
      <c r="F31" s="40" t="s">
        <v>48</v>
      </c>
      <c r="G31" s="19">
        <v>0.0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2.5" customHeight="1">
      <c r="A32" s="29" t="s">
        <v>49</v>
      </c>
      <c r="B32" s="30">
        <v>4.0</v>
      </c>
      <c r="C32" s="31">
        <v>4.0</v>
      </c>
      <c r="D32" s="32">
        <v>2.0</v>
      </c>
      <c r="E32" s="11">
        <f t="shared" si="1"/>
        <v>2</v>
      </c>
      <c r="F32" s="41"/>
      <c r="G32" s="13">
        <f t="shared" ref="G32:G37" si="4">E32</f>
        <v>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2.5" customHeight="1">
      <c r="A33" s="29" t="s">
        <v>50</v>
      </c>
      <c r="B33" s="30">
        <v>2.0</v>
      </c>
      <c r="C33" s="31">
        <v>2.0</v>
      </c>
      <c r="D33" s="32">
        <v>1.0</v>
      </c>
      <c r="E33" s="11">
        <f t="shared" si="1"/>
        <v>1</v>
      </c>
      <c r="F33" s="41"/>
      <c r="G33" s="13">
        <f t="shared" si="4"/>
        <v>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2.5" customHeight="1">
      <c r="A34" s="29" t="s">
        <v>51</v>
      </c>
      <c r="B34" s="30">
        <v>1.0</v>
      </c>
      <c r="C34" s="31">
        <v>1.0</v>
      </c>
      <c r="D34" s="32">
        <v>1.0</v>
      </c>
      <c r="E34" s="11">
        <f t="shared" si="1"/>
        <v>1</v>
      </c>
      <c r="F34" s="41"/>
      <c r="G34" s="13">
        <f t="shared" si="4"/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2.5" customHeight="1">
      <c r="A35" s="29" t="s">
        <v>52</v>
      </c>
      <c r="B35" s="30">
        <v>1.0</v>
      </c>
      <c r="C35" s="31">
        <v>1.0</v>
      </c>
      <c r="D35" s="32">
        <v>1.0</v>
      </c>
      <c r="E35" s="11">
        <f t="shared" si="1"/>
        <v>1</v>
      </c>
      <c r="F35" s="41"/>
      <c r="G35" s="13">
        <f t="shared" si="4"/>
        <v>1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2.5" customHeight="1">
      <c r="A36" s="29" t="s">
        <v>53</v>
      </c>
      <c r="B36" s="30">
        <v>1.0</v>
      </c>
      <c r="C36" s="31">
        <v>1.0</v>
      </c>
      <c r="D36" s="32">
        <v>1.0</v>
      </c>
      <c r="E36" s="11">
        <f t="shared" si="1"/>
        <v>1</v>
      </c>
      <c r="F36" s="41"/>
      <c r="G36" s="13">
        <f t="shared" si="4"/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2.5" customHeight="1">
      <c r="A37" s="29" t="s">
        <v>54</v>
      </c>
      <c r="B37" s="30">
        <v>1.0</v>
      </c>
      <c r="C37" s="31">
        <v>1.0</v>
      </c>
      <c r="D37" s="32">
        <v>6.0</v>
      </c>
      <c r="E37" s="11">
        <f t="shared" si="1"/>
        <v>6</v>
      </c>
      <c r="F37" s="41"/>
      <c r="G37" s="13">
        <f t="shared" si="4"/>
        <v>6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2.5" customHeight="1">
      <c r="A38" s="29" t="s">
        <v>29</v>
      </c>
      <c r="B38" s="30">
        <v>320.0</v>
      </c>
      <c r="C38" s="31">
        <v>6.0</v>
      </c>
      <c r="D38" s="32">
        <v>9.99</v>
      </c>
      <c r="E38" s="11">
        <f t="shared" si="1"/>
        <v>0.1873125</v>
      </c>
      <c r="F38" s="12" t="s">
        <v>8</v>
      </c>
      <c r="G38" s="19">
        <v>0.0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2.5" customHeight="1">
      <c r="A39" s="29" t="s">
        <v>31</v>
      </c>
      <c r="B39" s="30">
        <v>4.0</v>
      </c>
      <c r="C39" s="31">
        <v>1.0</v>
      </c>
      <c r="D39" s="32">
        <v>8.99</v>
      </c>
      <c r="E39" s="11">
        <f t="shared" si="1"/>
        <v>2.2475</v>
      </c>
      <c r="F39" s="12" t="s">
        <v>8</v>
      </c>
      <c r="G39" s="19">
        <v>0.0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2.5" customHeight="1">
      <c r="A40" s="26" t="s">
        <v>33</v>
      </c>
      <c r="B40" s="30">
        <v>2.0</v>
      </c>
      <c r="C40" s="31">
        <v>1.0</v>
      </c>
      <c r="D40" s="32">
        <v>9.99</v>
      </c>
      <c r="E40" s="11">
        <f t="shared" si="1"/>
        <v>4.995</v>
      </c>
      <c r="F40" s="12" t="s">
        <v>8</v>
      </c>
      <c r="G40" s="19">
        <v>0.0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2.5" customHeight="1">
      <c r="A41" s="26" t="s">
        <v>35</v>
      </c>
      <c r="B41" s="30">
        <v>2.0</v>
      </c>
      <c r="C41" s="31">
        <v>1.0</v>
      </c>
      <c r="D41" s="32">
        <v>5.99</v>
      </c>
      <c r="E41" s="11">
        <f t="shared" si="1"/>
        <v>2.995</v>
      </c>
      <c r="F41" s="12" t="s">
        <v>8</v>
      </c>
      <c r="G41" s="19">
        <v>0.0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2.5" customHeight="1">
      <c r="A42" s="26" t="s">
        <v>55</v>
      </c>
      <c r="B42" s="30">
        <v>100.0</v>
      </c>
      <c r="C42" s="31">
        <v>3.0</v>
      </c>
      <c r="D42" s="32">
        <v>8.99</v>
      </c>
      <c r="E42" s="11">
        <f t="shared" si="1"/>
        <v>0.2697</v>
      </c>
      <c r="F42" s="12" t="s">
        <v>8</v>
      </c>
      <c r="G42" s="19">
        <v>0.0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22.5" customHeight="1">
      <c r="A43" s="26" t="s">
        <v>41</v>
      </c>
      <c r="B43" s="30">
        <v>2.0</v>
      </c>
      <c r="C43" s="31">
        <v>3.0</v>
      </c>
      <c r="D43" s="32">
        <v>9.98</v>
      </c>
      <c r="E43" s="11">
        <f t="shared" si="1"/>
        <v>14.97</v>
      </c>
      <c r="F43" s="12" t="s">
        <v>8</v>
      </c>
      <c r="G43" s="13">
        <f>E43</f>
        <v>14.97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22.5" customHeight="1">
      <c r="A44" s="26" t="s">
        <v>56</v>
      </c>
      <c r="B44" s="30">
        <v>100.0</v>
      </c>
      <c r="C44" s="31">
        <v>3.0</v>
      </c>
      <c r="D44" s="32">
        <v>7.99</v>
      </c>
      <c r="E44" s="11">
        <f t="shared" si="1"/>
        <v>0.2397</v>
      </c>
      <c r="F44" s="12" t="s">
        <v>8</v>
      </c>
      <c r="G44" s="19">
        <v>0.0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22.5" customHeight="1">
      <c r="A45" s="26" t="s">
        <v>57</v>
      </c>
      <c r="B45" s="30">
        <v>10.0</v>
      </c>
      <c r="C45" s="31">
        <v>1.0</v>
      </c>
      <c r="D45" s="32">
        <v>6.99</v>
      </c>
      <c r="E45" s="11">
        <f t="shared" si="1"/>
        <v>0.699</v>
      </c>
      <c r="F45" s="12" t="s">
        <v>8</v>
      </c>
      <c r="G45" s="19">
        <v>0.0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2.5" customHeight="1">
      <c r="B46" s="42"/>
      <c r="C46" s="43"/>
      <c r="D46" s="44"/>
      <c r="F46" s="41"/>
      <c r="G46" s="1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22.5" customHeight="1">
      <c r="A47" s="45" t="s">
        <v>44</v>
      </c>
      <c r="B47" s="46">
        <f>SUM($B$2:$B$45)</f>
        <v>1489</v>
      </c>
      <c r="C47" s="47">
        <f>SUM($C$2:$C$45)</f>
        <v>124.11</v>
      </c>
      <c r="D47" s="48">
        <f>SUM($D$2:$D$45)</f>
        <v>1401.99</v>
      </c>
      <c r="E47" s="48">
        <f>SUM($E$2:$E$45)</f>
        <v>1095.265513</v>
      </c>
      <c r="F47" s="49"/>
      <c r="G47" s="50">
        <f>SUM(G$2:G$45)</f>
        <v>1031.3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22.5" customHeight="1">
      <c r="A48" s="51" t="s">
        <v>58</v>
      </c>
      <c r="B48" s="46">
        <f>SUM($B$2:$B$45)-B$16</f>
        <v>1488</v>
      </c>
      <c r="C48" s="47">
        <f>SUM($C$2:$C$45)-C$16</f>
        <v>123.11</v>
      </c>
      <c r="D48" s="48">
        <f>SUM($D$2:$D$45)-D$16</f>
        <v>751.99</v>
      </c>
      <c r="E48" s="48">
        <f>SUM($E$2:$E$45)-E$16</f>
        <v>445.2655125</v>
      </c>
      <c r="F48" s="52"/>
      <c r="G48" s="50">
        <f>SUM(G$2:G$45)-G$16</f>
        <v>381.3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22.5" customHeight="1">
      <c r="A49" s="51" t="s">
        <v>59</v>
      </c>
      <c r="B49" s="46">
        <f>SUM($B$2:$B$45)-B$19</f>
        <v>1486</v>
      </c>
      <c r="C49" s="47">
        <f>SUM($C$2:$C$45)-C$19</f>
        <v>121.11</v>
      </c>
      <c r="D49" s="48">
        <f>SUM($D$2:$D$45)-D$19</f>
        <v>1191.99</v>
      </c>
      <c r="E49" s="48">
        <f>SUM($E$2:$E$45)-E$19</f>
        <v>885.2655125</v>
      </c>
      <c r="F49" s="52"/>
      <c r="G49" s="50">
        <f>SUM(G$2:G$45)-G$19</f>
        <v>821.3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22.5" customHeight="1">
      <c r="A50" s="51" t="s">
        <v>60</v>
      </c>
      <c r="B50" s="46">
        <f>SUM($B$2:$B$45)-B$16-B$19</f>
        <v>1485</v>
      </c>
      <c r="C50" s="47">
        <f>SUM($C$2:$C$45)-C$16-C$19</f>
        <v>120.11</v>
      </c>
      <c r="D50" s="48">
        <f>SUM($D$2:$D$45)-D$16-D$19</f>
        <v>541.99</v>
      </c>
      <c r="E50" s="48">
        <f>SUM($E$2:$E$45)-E$16-E$19</f>
        <v>235.2655125</v>
      </c>
      <c r="F50" s="52"/>
      <c r="G50" s="50">
        <f>SUM(G$2:G$45)-G$16-G$19</f>
        <v>171.3</v>
      </c>
      <c r="H50" s="20" t="s">
        <v>61</v>
      </c>
      <c r="I50" s="20" t="s">
        <v>62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22.5" customHeight="1">
      <c r="A51" s="51" t="s">
        <v>63</v>
      </c>
      <c r="B51" s="46">
        <f>SUM($B$2:$B$45)-B$16-B$19-B$12</f>
        <v>1480</v>
      </c>
      <c r="C51" s="47">
        <f>SUM($C$2:$C$45)-C$16-C$19-C$12</f>
        <v>115.11</v>
      </c>
      <c r="D51" s="48">
        <f>SUM($D$2:$D$45)-D$16-D$19-D$12</f>
        <v>477.04</v>
      </c>
      <c r="E51" s="48">
        <f>SUM($E$2:$E$45)-E$16-E$19-E$12</f>
        <v>170.3155125</v>
      </c>
      <c r="F51" s="52"/>
      <c r="G51" s="48">
        <f>SUM(G$2:G$45)-G$16-G$19-G$12</f>
        <v>106.35</v>
      </c>
      <c r="H51" s="38">
        <f>D16</f>
        <v>650</v>
      </c>
      <c r="I51" s="38">
        <f>D19</f>
        <v>210</v>
      </c>
      <c r="K51" s="7">
        <f>170+860</f>
        <v>1030</v>
      </c>
      <c r="L51" s="7">
        <f>B51/C51</f>
        <v>12.85726696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14" t="s">
        <v>64</v>
      </c>
      <c r="B52" s="37"/>
      <c r="C52" s="37"/>
      <c r="D52" s="53"/>
      <c r="E52" s="23"/>
      <c r="F52" s="7"/>
      <c r="G52" s="7"/>
      <c r="H52" s="54">
        <f>$D16/$D47</f>
        <v>0.463626702</v>
      </c>
      <c r="I52" s="54">
        <f>$D19/$D47</f>
        <v>0.1497870884</v>
      </c>
      <c r="J52" s="7">
        <f>SUM(H52:I52)</f>
        <v>0.6134137904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55"/>
      <c r="C53" s="55"/>
      <c r="D53" s="56"/>
      <c r="E53" s="23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55"/>
      <c r="C54" s="55"/>
      <c r="D54" s="56"/>
      <c r="E54" s="23"/>
      <c r="F54" s="7"/>
      <c r="G54" s="7"/>
      <c r="H54" s="57">
        <f>G50-G24+G19+G16</f>
        <v>993.89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55"/>
      <c r="C55" s="55"/>
      <c r="D55" s="56"/>
      <c r="E55" s="2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20" t="s">
        <v>65</v>
      </c>
      <c r="B56" s="55"/>
      <c r="C56" s="55"/>
      <c r="D56" s="56"/>
      <c r="E56" s="23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14" t="s">
        <v>66</v>
      </c>
      <c r="B57" s="27">
        <v>10.0</v>
      </c>
      <c r="C57" s="58">
        <v>3.0</v>
      </c>
      <c r="D57" s="28">
        <v>10.0</v>
      </c>
      <c r="E57" s="23">
        <f>D57/(B57/C57)</f>
        <v>3</v>
      </c>
      <c r="F57" s="24" t="s">
        <v>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55"/>
      <c r="C58" s="55"/>
      <c r="D58" s="56"/>
      <c r="E58" s="23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55"/>
      <c r="C59" s="55"/>
      <c r="D59" s="56"/>
      <c r="E59" s="2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55"/>
      <c r="C60" s="55"/>
      <c r="D60" s="56"/>
      <c r="E60" s="23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55"/>
      <c r="C61" s="55"/>
      <c r="D61" s="56"/>
      <c r="E61" s="23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55"/>
      <c r="C62" s="55"/>
      <c r="D62" s="56"/>
      <c r="E62" s="2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55"/>
      <c r="C63" s="55"/>
      <c r="D63" s="56"/>
      <c r="E63" s="23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55"/>
      <c r="C64" s="55"/>
      <c r="D64" s="56"/>
      <c r="E64" s="23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55"/>
      <c r="C65" s="55"/>
      <c r="D65" s="56"/>
      <c r="E65" s="23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55"/>
      <c r="C66" s="55"/>
      <c r="D66" s="56"/>
      <c r="E66" s="23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55"/>
      <c r="C67" s="55"/>
      <c r="D67" s="56"/>
      <c r="E67" s="23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55"/>
      <c r="C68" s="55"/>
      <c r="D68" s="56"/>
      <c r="E68" s="23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55"/>
      <c r="C69" s="55"/>
      <c r="D69" s="56"/>
      <c r="E69" s="23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55"/>
      <c r="C70" s="55"/>
      <c r="D70" s="56"/>
      <c r="E70" s="23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55"/>
      <c r="C71" s="55"/>
      <c r="D71" s="56"/>
      <c r="E71" s="23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55"/>
      <c r="C72" s="55"/>
      <c r="D72" s="56"/>
      <c r="E72" s="23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55"/>
      <c r="C73" s="55"/>
      <c r="D73" s="56"/>
      <c r="E73" s="23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55"/>
      <c r="C74" s="55"/>
      <c r="D74" s="56"/>
      <c r="E74" s="23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55"/>
      <c r="C75" s="55"/>
      <c r="D75" s="56"/>
      <c r="E75" s="23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55"/>
      <c r="C76" s="55"/>
      <c r="D76" s="56"/>
      <c r="E76" s="23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55"/>
      <c r="C77" s="55"/>
      <c r="D77" s="56"/>
      <c r="E77" s="23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55"/>
      <c r="C78" s="55"/>
      <c r="D78" s="56"/>
      <c r="E78" s="23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55"/>
      <c r="C79" s="55"/>
      <c r="D79" s="56"/>
      <c r="E79" s="23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55"/>
      <c r="C80" s="55"/>
      <c r="D80" s="56"/>
      <c r="E80" s="23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55"/>
      <c r="C81" s="55"/>
      <c r="D81" s="56"/>
      <c r="E81" s="23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55"/>
      <c r="C82" s="55"/>
      <c r="D82" s="56"/>
      <c r="E82" s="23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55"/>
      <c r="C83" s="55"/>
      <c r="D83" s="56"/>
      <c r="E83" s="23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55"/>
      <c r="C84" s="55"/>
      <c r="D84" s="56"/>
      <c r="E84" s="23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55"/>
      <c r="C85" s="55"/>
      <c r="D85" s="56"/>
      <c r="E85" s="23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55"/>
      <c r="C86" s="55"/>
      <c r="D86" s="56"/>
      <c r="E86" s="2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55"/>
      <c r="C87" s="55"/>
      <c r="D87" s="56"/>
      <c r="E87" s="23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55"/>
      <c r="C88" s="55"/>
      <c r="D88" s="56"/>
      <c r="E88" s="23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55"/>
      <c r="C89" s="55"/>
      <c r="D89" s="56"/>
      <c r="E89" s="23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55"/>
      <c r="C90" s="55"/>
      <c r="D90" s="56"/>
      <c r="E90" s="23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55"/>
      <c r="C91" s="55"/>
      <c r="D91" s="56"/>
      <c r="E91" s="23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55"/>
      <c r="C92" s="55"/>
      <c r="D92" s="56"/>
      <c r="E92" s="23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55"/>
      <c r="C93" s="55"/>
      <c r="D93" s="56"/>
      <c r="E93" s="23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55"/>
      <c r="C94" s="55"/>
      <c r="D94" s="56"/>
      <c r="E94" s="23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55"/>
      <c r="C95" s="55"/>
      <c r="D95" s="56"/>
      <c r="E95" s="23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55"/>
      <c r="C96" s="55"/>
      <c r="D96" s="56"/>
      <c r="E96" s="23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55"/>
      <c r="C97" s="55"/>
      <c r="D97" s="56"/>
      <c r="E97" s="2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55"/>
      <c r="C98" s="55"/>
      <c r="D98" s="56"/>
      <c r="E98" s="2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55"/>
      <c r="C99" s="55"/>
      <c r="D99" s="56"/>
      <c r="E99" s="2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55"/>
      <c r="C100" s="55"/>
      <c r="D100" s="56"/>
      <c r="E100" s="23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55"/>
      <c r="C101" s="55"/>
      <c r="D101" s="56"/>
      <c r="E101" s="23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55"/>
      <c r="C102" s="55"/>
      <c r="D102" s="56"/>
      <c r="E102" s="23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55"/>
      <c r="C103" s="55"/>
      <c r="D103" s="56"/>
      <c r="E103" s="2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55"/>
      <c r="C104" s="55"/>
      <c r="D104" s="56"/>
      <c r="E104" s="23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55"/>
      <c r="C105" s="55"/>
      <c r="D105" s="56"/>
      <c r="E105" s="23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55"/>
      <c r="C106" s="55"/>
      <c r="D106" s="56"/>
      <c r="E106" s="23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55"/>
      <c r="C107" s="55"/>
      <c r="D107" s="56"/>
      <c r="E107" s="23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55"/>
      <c r="C108" s="55"/>
      <c r="D108" s="56"/>
      <c r="E108" s="23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55"/>
      <c r="C109" s="55"/>
      <c r="D109" s="56"/>
      <c r="E109" s="2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55"/>
      <c r="C110" s="55"/>
      <c r="D110" s="56"/>
      <c r="E110" s="2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55"/>
      <c r="C111" s="55"/>
      <c r="D111" s="56"/>
      <c r="E111" s="23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55"/>
      <c r="C112" s="55"/>
      <c r="D112" s="56"/>
      <c r="E112" s="2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55"/>
      <c r="C113" s="55"/>
      <c r="D113" s="56"/>
      <c r="E113" s="2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55"/>
      <c r="C114" s="55"/>
      <c r="D114" s="56"/>
      <c r="E114" s="23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55"/>
      <c r="C115" s="55"/>
      <c r="D115" s="56"/>
      <c r="E115" s="23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55"/>
      <c r="C116" s="55"/>
      <c r="D116" s="56"/>
      <c r="E116" s="23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55"/>
      <c r="C117" s="55"/>
      <c r="D117" s="56"/>
      <c r="E117" s="23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55"/>
      <c r="C118" s="55"/>
      <c r="D118" s="56"/>
      <c r="E118" s="23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55"/>
      <c r="C119" s="55"/>
      <c r="D119" s="56"/>
      <c r="E119" s="23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55"/>
      <c r="C120" s="55"/>
      <c r="D120" s="56"/>
      <c r="E120" s="23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55"/>
      <c r="C121" s="55"/>
      <c r="D121" s="56"/>
      <c r="E121" s="23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55"/>
      <c r="C122" s="55"/>
      <c r="D122" s="56"/>
      <c r="E122" s="23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55"/>
      <c r="C123" s="55"/>
      <c r="D123" s="56"/>
      <c r="E123" s="23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55"/>
      <c r="C124" s="55"/>
      <c r="D124" s="56"/>
      <c r="E124" s="23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55"/>
      <c r="C125" s="55"/>
      <c r="D125" s="56"/>
      <c r="E125" s="23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55"/>
      <c r="C126" s="55"/>
      <c r="D126" s="56"/>
      <c r="E126" s="23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55"/>
      <c r="C127" s="55"/>
      <c r="D127" s="56"/>
      <c r="E127" s="23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55"/>
      <c r="C128" s="55"/>
      <c r="D128" s="56"/>
      <c r="E128" s="23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55"/>
      <c r="C129" s="55"/>
      <c r="D129" s="56"/>
      <c r="E129" s="23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55"/>
      <c r="C130" s="55"/>
      <c r="D130" s="56"/>
      <c r="E130" s="23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55"/>
      <c r="C131" s="55"/>
      <c r="D131" s="56"/>
      <c r="E131" s="23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55"/>
      <c r="C132" s="55"/>
      <c r="D132" s="56"/>
      <c r="E132" s="23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55"/>
      <c r="C133" s="55"/>
      <c r="D133" s="56"/>
      <c r="E133" s="23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55"/>
      <c r="C134" s="55"/>
      <c r="D134" s="56"/>
      <c r="E134" s="23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55"/>
      <c r="C135" s="55"/>
      <c r="D135" s="56"/>
      <c r="E135" s="23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55"/>
      <c r="C136" s="55"/>
      <c r="D136" s="56"/>
      <c r="E136" s="23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55"/>
      <c r="C137" s="55"/>
      <c r="D137" s="56"/>
      <c r="E137" s="23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55"/>
      <c r="C138" s="55"/>
      <c r="D138" s="56"/>
      <c r="E138" s="23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55"/>
      <c r="C139" s="55"/>
      <c r="D139" s="56"/>
      <c r="E139" s="23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55"/>
      <c r="C140" s="55"/>
      <c r="D140" s="56"/>
      <c r="E140" s="23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55"/>
      <c r="C141" s="55"/>
      <c r="D141" s="56"/>
      <c r="E141" s="23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55"/>
      <c r="C142" s="55"/>
      <c r="D142" s="56"/>
      <c r="E142" s="23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55"/>
      <c r="C143" s="55"/>
      <c r="D143" s="56"/>
      <c r="E143" s="23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55"/>
      <c r="C144" s="55"/>
      <c r="D144" s="56"/>
      <c r="E144" s="23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55"/>
      <c r="C145" s="55"/>
      <c r="D145" s="56"/>
      <c r="E145" s="23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55"/>
      <c r="C146" s="55"/>
      <c r="D146" s="56"/>
      <c r="E146" s="23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55"/>
      <c r="C147" s="55"/>
      <c r="D147" s="56"/>
      <c r="E147" s="23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55"/>
      <c r="C148" s="55"/>
      <c r="D148" s="56"/>
      <c r="E148" s="2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55"/>
      <c r="C149" s="55"/>
      <c r="D149" s="56"/>
      <c r="E149" s="2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55"/>
      <c r="C150" s="55"/>
      <c r="D150" s="56"/>
      <c r="E150" s="23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55"/>
      <c r="C151" s="55"/>
      <c r="D151" s="56"/>
      <c r="E151" s="23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55"/>
      <c r="C152" s="55"/>
      <c r="D152" s="56"/>
      <c r="E152" s="23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55"/>
      <c r="C153" s="55"/>
      <c r="D153" s="56"/>
      <c r="E153" s="23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55"/>
      <c r="C154" s="55"/>
      <c r="D154" s="56"/>
      <c r="E154" s="23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55"/>
      <c r="C155" s="55"/>
      <c r="D155" s="56"/>
      <c r="E155" s="23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55"/>
      <c r="C156" s="55"/>
      <c r="D156" s="56"/>
      <c r="E156" s="23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55"/>
      <c r="C157" s="55"/>
      <c r="D157" s="56"/>
      <c r="E157" s="23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55"/>
      <c r="C158" s="55"/>
      <c r="D158" s="56"/>
      <c r="E158" s="23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55"/>
      <c r="C159" s="55"/>
      <c r="D159" s="56"/>
      <c r="E159" s="23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55"/>
      <c r="C160" s="55"/>
      <c r="D160" s="56"/>
      <c r="E160" s="23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55"/>
      <c r="C161" s="55"/>
      <c r="D161" s="56"/>
      <c r="E161" s="23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55"/>
      <c r="C162" s="55"/>
      <c r="D162" s="56"/>
      <c r="E162" s="23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55"/>
      <c r="C163" s="55"/>
      <c r="D163" s="56"/>
      <c r="E163" s="23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55"/>
      <c r="C164" s="55"/>
      <c r="D164" s="56"/>
      <c r="E164" s="23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55"/>
      <c r="C165" s="55"/>
      <c r="D165" s="56"/>
      <c r="E165" s="23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55"/>
      <c r="C166" s="55"/>
      <c r="D166" s="56"/>
      <c r="E166" s="23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55"/>
      <c r="C167" s="55"/>
      <c r="D167" s="56"/>
      <c r="E167" s="23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55"/>
      <c r="C168" s="55"/>
      <c r="D168" s="56"/>
      <c r="E168" s="23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55"/>
      <c r="C169" s="55"/>
      <c r="D169" s="56"/>
      <c r="E169" s="23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55"/>
      <c r="C170" s="55"/>
      <c r="D170" s="56"/>
      <c r="E170" s="23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55"/>
      <c r="C171" s="55"/>
      <c r="D171" s="56"/>
      <c r="E171" s="23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55"/>
      <c r="C172" s="55"/>
      <c r="D172" s="56"/>
      <c r="E172" s="23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55"/>
      <c r="C173" s="55"/>
      <c r="D173" s="56"/>
      <c r="E173" s="23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55"/>
      <c r="C174" s="55"/>
      <c r="D174" s="56"/>
      <c r="E174" s="23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55"/>
      <c r="C175" s="55"/>
      <c r="D175" s="56"/>
      <c r="E175" s="23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55"/>
      <c r="C176" s="55"/>
      <c r="D176" s="56"/>
      <c r="E176" s="23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55"/>
      <c r="C177" s="55"/>
      <c r="D177" s="56"/>
      <c r="E177" s="23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55"/>
      <c r="C178" s="55"/>
      <c r="D178" s="56"/>
      <c r="E178" s="23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55"/>
      <c r="C179" s="55"/>
      <c r="D179" s="56"/>
      <c r="E179" s="2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55"/>
      <c r="C180" s="55"/>
      <c r="D180" s="56"/>
      <c r="E180" s="23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55"/>
      <c r="C181" s="55"/>
      <c r="D181" s="56"/>
      <c r="E181" s="23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55"/>
      <c r="C182" s="55"/>
      <c r="D182" s="56"/>
      <c r="E182" s="23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55"/>
      <c r="C183" s="55"/>
      <c r="D183" s="56"/>
      <c r="E183" s="23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55"/>
      <c r="C184" s="55"/>
      <c r="D184" s="56"/>
      <c r="E184" s="23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55"/>
      <c r="C185" s="55"/>
      <c r="D185" s="56"/>
      <c r="E185" s="23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55"/>
      <c r="C186" s="55"/>
      <c r="D186" s="56"/>
      <c r="E186" s="23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55"/>
      <c r="C187" s="55"/>
      <c r="D187" s="56"/>
      <c r="E187" s="23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55"/>
      <c r="C188" s="55"/>
      <c r="D188" s="56"/>
      <c r="E188" s="23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55"/>
      <c r="C189" s="55"/>
      <c r="D189" s="56"/>
      <c r="E189" s="23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55"/>
      <c r="C190" s="55"/>
      <c r="D190" s="56"/>
      <c r="E190" s="23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55"/>
      <c r="C191" s="55"/>
      <c r="D191" s="56"/>
      <c r="E191" s="23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55"/>
      <c r="C192" s="55"/>
      <c r="D192" s="56"/>
      <c r="E192" s="23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55"/>
      <c r="C193" s="55"/>
      <c r="D193" s="56"/>
      <c r="E193" s="23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55"/>
      <c r="C194" s="55"/>
      <c r="D194" s="56"/>
      <c r="E194" s="23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55"/>
      <c r="C195" s="55"/>
      <c r="D195" s="56"/>
      <c r="E195" s="23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55"/>
      <c r="C196" s="55"/>
      <c r="D196" s="56"/>
      <c r="E196" s="23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55"/>
      <c r="C197" s="55"/>
      <c r="D197" s="56"/>
      <c r="E197" s="23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55"/>
      <c r="C198" s="55"/>
      <c r="D198" s="56"/>
      <c r="E198" s="23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55"/>
      <c r="C199" s="55"/>
      <c r="D199" s="56"/>
      <c r="E199" s="23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55"/>
      <c r="C200" s="55"/>
      <c r="D200" s="56"/>
      <c r="E200" s="23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55"/>
      <c r="C201" s="55"/>
      <c r="D201" s="56"/>
      <c r="E201" s="23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55"/>
      <c r="C202" s="55"/>
      <c r="D202" s="56"/>
      <c r="E202" s="23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55"/>
      <c r="C203" s="55"/>
      <c r="D203" s="56"/>
      <c r="E203" s="23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55"/>
      <c r="C204" s="55"/>
      <c r="D204" s="56"/>
      <c r="E204" s="23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55"/>
      <c r="C205" s="55"/>
      <c r="D205" s="56"/>
      <c r="E205" s="23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55"/>
      <c r="C206" s="55"/>
      <c r="D206" s="56"/>
      <c r="E206" s="23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55"/>
      <c r="C207" s="55"/>
      <c r="D207" s="56"/>
      <c r="E207" s="23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55"/>
      <c r="C208" s="55"/>
      <c r="D208" s="56"/>
      <c r="E208" s="23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55"/>
      <c r="C209" s="55"/>
      <c r="D209" s="56"/>
      <c r="E209" s="23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55"/>
      <c r="C210" s="55"/>
      <c r="D210" s="56"/>
      <c r="E210" s="23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55"/>
      <c r="C211" s="55"/>
      <c r="D211" s="56"/>
      <c r="E211" s="23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55"/>
      <c r="C212" s="55"/>
      <c r="D212" s="56"/>
      <c r="E212" s="23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55"/>
      <c r="C213" s="55"/>
      <c r="D213" s="56"/>
      <c r="E213" s="23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55"/>
      <c r="C214" s="55"/>
      <c r="D214" s="56"/>
      <c r="E214" s="23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55"/>
      <c r="C215" s="55"/>
      <c r="D215" s="56"/>
      <c r="E215" s="23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55"/>
      <c r="C216" s="55"/>
      <c r="D216" s="56"/>
      <c r="E216" s="23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55"/>
      <c r="C217" s="55"/>
      <c r="D217" s="56"/>
      <c r="E217" s="23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55"/>
      <c r="C218" s="55"/>
      <c r="D218" s="56"/>
      <c r="E218" s="23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55"/>
      <c r="C219" s="55"/>
      <c r="D219" s="56"/>
      <c r="E219" s="23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55"/>
      <c r="C220" s="55"/>
      <c r="D220" s="56"/>
      <c r="E220" s="23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55"/>
      <c r="C221" s="55"/>
      <c r="D221" s="56"/>
      <c r="E221" s="23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55"/>
      <c r="C222" s="55"/>
      <c r="D222" s="56"/>
      <c r="E222" s="23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55"/>
      <c r="C223" s="55"/>
      <c r="D223" s="56"/>
      <c r="E223" s="23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55"/>
      <c r="C224" s="55"/>
      <c r="D224" s="56"/>
      <c r="E224" s="23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55"/>
      <c r="C225" s="55"/>
      <c r="D225" s="56"/>
      <c r="E225" s="23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55"/>
      <c r="C226" s="55"/>
      <c r="D226" s="56"/>
      <c r="E226" s="23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55"/>
      <c r="C227" s="55"/>
      <c r="D227" s="56"/>
      <c r="E227" s="23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55"/>
      <c r="C228" s="55"/>
      <c r="D228" s="56"/>
      <c r="E228" s="23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55"/>
      <c r="C229" s="55"/>
      <c r="D229" s="56"/>
      <c r="E229" s="23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55"/>
      <c r="C230" s="55"/>
      <c r="D230" s="56"/>
      <c r="E230" s="23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55"/>
      <c r="C231" s="55"/>
      <c r="D231" s="56"/>
      <c r="E231" s="23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55"/>
      <c r="C232" s="55"/>
      <c r="D232" s="56"/>
      <c r="E232" s="23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55"/>
      <c r="C233" s="55"/>
      <c r="D233" s="56"/>
      <c r="E233" s="23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55"/>
      <c r="C234" s="55"/>
      <c r="D234" s="56"/>
      <c r="E234" s="23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55"/>
      <c r="C235" s="55"/>
      <c r="D235" s="56"/>
      <c r="E235" s="23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55"/>
      <c r="C236" s="55"/>
      <c r="D236" s="56"/>
      <c r="E236" s="23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55"/>
      <c r="C237" s="55"/>
      <c r="D237" s="56"/>
      <c r="E237" s="23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55"/>
      <c r="C238" s="55"/>
      <c r="D238" s="56"/>
      <c r="E238" s="23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55"/>
      <c r="C239" s="55"/>
      <c r="D239" s="56"/>
      <c r="E239" s="23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55"/>
      <c r="C240" s="55"/>
      <c r="D240" s="56"/>
      <c r="E240" s="23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55"/>
      <c r="C241" s="55"/>
      <c r="D241" s="56"/>
      <c r="E241" s="23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55"/>
      <c r="C242" s="55"/>
      <c r="D242" s="56"/>
      <c r="E242" s="23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55"/>
      <c r="C243" s="55"/>
      <c r="D243" s="56"/>
      <c r="E243" s="23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55"/>
      <c r="C244" s="55"/>
      <c r="D244" s="56"/>
      <c r="E244" s="23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55"/>
      <c r="C245" s="55"/>
      <c r="D245" s="56"/>
      <c r="E245" s="23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55"/>
      <c r="C246" s="55"/>
      <c r="D246" s="56"/>
      <c r="E246" s="23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55"/>
      <c r="C247" s="55"/>
      <c r="D247" s="56"/>
      <c r="E247" s="23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55"/>
      <c r="C248" s="55"/>
      <c r="D248" s="56"/>
      <c r="E248" s="23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55"/>
      <c r="C249" s="55"/>
      <c r="D249" s="56"/>
      <c r="E249" s="23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55"/>
      <c r="C250" s="55"/>
      <c r="D250" s="56"/>
      <c r="E250" s="23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55"/>
      <c r="C251" s="55"/>
      <c r="D251" s="56"/>
      <c r="E251" s="23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55"/>
      <c r="C252" s="55"/>
      <c r="D252" s="56"/>
      <c r="E252" s="23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55"/>
      <c r="C253" s="55"/>
      <c r="D253" s="56"/>
      <c r="E253" s="23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55"/>
      <c r="C254" s="55"/>
      <c r="D254" s="56"/>
      <c r="E254" s="23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55"/>
      <c r="C255" s="55"/>
      <c r="D255" s="56"/>
      <c r="E255" s="23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55"/>
      <c r="C256" s="55"/>
      <c r="D256" s="56"/>
      <c r="E256" s="23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55"/>
      <c r="C257" s="55"/>
      <c r="D257" s="56"/>
      <c r="E257" s="23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55"/>
      <c r="C258" s="55"/>
      <c r="D258" s="56"/>
      <c r="E258" s="23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55"/>
      <c r="C259" s="55"/>
      <c r="D259" s="56"/>
      <c r="E259" s="23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55"/>
      <c r="C260" s="55"/>
      <c r="D260" s="56"/>
      <c r="E260" s="23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55"/>
      <c r="C261" s="55"/>
      <c r="D261" s="56"/>
      <c r="E261" s="23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55"/>
      <c r="C262" s="55"/>
      <c r="D262" s="56"/>
      <c r="E262" s="23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55"/>
      <c r="C263" s="55"/>
      <c r="D263" s="56"/>
      <c r="E263" s="23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55"/>
      <c r="C264" s="55"/>
      <c r="D264" s="56"/>
      <c r="E264" s="23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55"/>
      <c r="C265" s="55"/>
      <c r="D265" s="56"/>
      <c r="E265" s="23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55"/>
      <c r="C266" s="55"/>
      <c r="D266" s="56"/>
      <c r="E266" s="23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55"/>
      <c r="C267" s="55"/>
      <c r="D267" s="56"/>
      <c r="E267" s="23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55"/>
      <c r="C268" s="55"/>
      <c r="D268" s="56"/>
      <c r="E268" s="23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55"/>
      <c r="C269" s="55"/>
      <c r="D269" s="56"/>
      <c r="E269" s="23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55"/>
      <c r="C270" s="55"/>
      <c r="D270" s="56"/>
      <c r="E270" s="23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55"/>
      <c r="C271" s="55"/>
      <c r="D271" s="56"/>
      <c r="E271" s="23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55"/>
      <c r="C272" s="55"/>
      <c r="D272" s="56"/>
      <c r="E272" s="23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55"/>
      <c r="C273" s="55"/>
      <c r="D273" s="56"/>
      <c r="E273" s="23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55"/>
      <c r="C274" s="55"/>
      <c r="D274" s="56"/>
      <c r="E274" s="23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55"/>
      <c r="C275" s="55"/>
      <c r="D275" s="56"/>
      <c r="E275" s="23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55"/>
      <c r="C276" s="55"/>
      <c r="D276" s="56"/>
      <c r="E276" s="23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55"/>
      <c r="C277" s="55"/>
      <c r="D277" s="56"/>
      <c r="E277" s="23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55"/>
      <c r="C278" s="55"/>
      <c r="D278" s="56"/>
      <c r="E278" s="23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55"/>
      <c r="C279" s="55"/>
      <c r="D279" s="56"/>
      <c r="E279" s="23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55"/>
      <c r="C280" s="55"/>
      <c r="D280" s="56"/>
      <c r="E280" s="23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55"/>
      <c r="C281" s="55"/>
      <c r="D281" s="56"/>
      <c r="E281" s="23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55"/>
      <c r="C282" s="55"/>
      <c r="D282" s="56"/>
      <c r="E282" s="23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55"/>
      <c r="C283" s="55"/>
      <c r="D283" s="56"/>
      <c r="E283" s="23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55"/>
      <c r="C284" s="55"/>
      <c r="D284" s="56"/>
      <c r="E284" s="23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55"/>
      <c r="C285" s="55"/>
      <c r="D285" s="56"/>
      <c r="E285" s="23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55"/>
      <c r="C286" s="55"/>
      <c r="D286" s="56"/>
      <c r="E286" s="23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55"/>
      <c r="C287" s="55"/>
      <c r="D287" s="56"/>
      <c r="E287" s="23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55"/>
      <c r="C288" s="55"/>
      <c r="D288" s="56"/>
      <c r="E288" s="23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55"/>
      <c r="C289" s="55"/>
      <c r="D289" s="56"/>
      <c r="E289" s="23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55"/>
      <c r="C290" s="55"/>
      <c r="D290" s="56"/>
      <c r="E290" s="23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55"/>
      <c r="C291" s="55"/>
      <c r="D291" s="56"/>
      <c r="E291" s="23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55"/>
      <c r="C292" s="55"/>
      <c r="D292" s="56"/>
      <c r="E292" s="23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55"/>
      <c r="C293" s="55"/>
      <c r="D293" s="56"/>
      <c r="E293" s="23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55"/>
      <c r="C294" s="55"/>
      <c r="D294" s="56"/>
      <c r="E294" s="23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55"/>
      <c r="C295" s="55"/>
      <c r="D295" s="56"/>
      <c r="E295" s="23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55"/>
      <c r="C296" s="55"/>
      <c r="D296" s="56"/>
      <c r="E296" s="23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55"/>
      <c r="C297" s="55"/>
      <c r="D297" s="56"/>
      <c r="E297" s="23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55"/>
      <c r="C298" s="55"/>
      <c r="D298" s="56"/>
      <c r="E298" s="23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55"/>
      <c r="C299" s="55"/>
      <c r="D299" s="56"/>
      <c r="E299" s="23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55"/>
      <c r="C300" s="55"/>
      <c r="D300" s="56"/>
      <c r="E300" s="23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55"/>
      <c r="C301" s="55"/>
      <c r="D301" s="56"/>
      <c r="E301" s="23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55"/>
      <c r="C302" s="55"/>
      <c r="D302" s="56"/>
      <c r="E302" s="23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55"/>
      <c r="C303" s="55"/>
      <c r="D303" s="56"/>
      <c r="E303" s="23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55"/>
      <c r="C304" s="55"/>
      <c r="D304" s="56"/>
      <c r="E304" s="23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55"/>
      <c r="C305" s="55"/>
      <c r="D305" s="56"/>
      <c r="E305" s="23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55"/>
      <c r="C306" s="55"/>
      <c r="D306" s="56"/>
      <c r="E306" s="23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55"/>
      <c r="C307" s="55"/>
      <c r="D307" s="56"/>
      <c r="E307" s="23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55"/>
      <c r="C308" s="55"/>
      <c r="D308" s="56"/>
      <c r="E308" s="23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55"/>
      <c r="C309" s="55"/>
      <c r="D309" s="56"/>
      <c r="E309" s="23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55"/>
      <c r="C310" s="55"/>
      <c r="D310" s="56"/>
      <c r="E310" s="23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55"/>
      <c r="C311" s="55"/>
      <c r="D311" s="56"/>
      <c r="E311" s="23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55"/>
      <c r="C312" s="55"/>
      <c r="D312" s="56"/>
      <c r="E312" s="23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55"/>
      <c r="C313" s="55"/>
      <c r="D313" s="56"/>
      <c r="E313" s="23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55"/>
      <c r="C314" s="55"/>
      <c r="D314" s="56"/>
      <c r="E314" s="23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55"/>
      <c r="C315" s="55"/>
      <c r="D315" s="56"/>
      <c r="E315" s="23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55"/>
      <c r="C316" s="55"/>
      <c r="D316" s="56"/>
      <c r="E316" s="23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55"/>
      <c r="C317" s="55"/>
      <c r="D317" s="56"/>
      <c r="E317" s="23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55"/>
      <c r="C318" s="55"/>
      <c r="D318" s="56"/>
      <c r="E318" s="23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55"/>
      <c r="C319" s="55"/>
      <c r="D319" s="56"/>
      <c r="E319" s="23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55"/>
      <c r="C320" s="55"/>
      <c r="D320" s="56"/>
      <c r="E320" s="23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55"/>
      <c r="C321" s="55"/>
      <c r="D321" s="56"/>
      <c r="E321" s="23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55"/>
      <c r="C322" s="55"/>
      <c r="D322" s="56"/>
      <c r="E322" s="23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55"/>
      <c r="C323" s="55"/>
      <c r="D323" s="56"/>
      <c r="E323" s="23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55"/>
      <c r="C324" s="55"/>
      <c r="D324" s="56"/>
      <c r="E324" s="23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55"/>
      <c r="C325" s="55"/>
      <c r="D325" s="56"/>
      <c r="E325" s="23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55"/>
      <c r="C326" s="55"/>
      <c r="D326" s="56"/>
      <c r="E326" s="23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55"/>
      <c r="C327" s="55"/>
      <c r="D327" s="56"/>
      <c r="E327" s="23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55"/>
      <c r="C328" s="55"/>
      <c r="D328" s="56"/>
      <c r="E328" s="23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55"/>
      <c r="C329" s="55"/>
      <c r="D329" s="56"/>
      <c r="E329" s="23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55"/>
      <c r="C330" s="55"/>
      <c r="D330" s="56"/>
      <c r="E330" s="23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55"/>
      <c r="C331" s="55"/>
      <c r="D331" s="56"/>
      <c r="E331" s="23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55"/>
      <c r="C332" s="55"/>
      <c r="D332" s="56"/>
      <c r="E332" s="23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55"/>
      <c r="C333" s="55"/>
      <c r="D333" s="56"/>
      <c r="E333" s="23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55"/>
      <c r="C334" s="55"/>
      <c r="D334" s="56"/>
      <c r="E334" s="23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55"/>
      <c r="C335" s="55"/>
      <c r="D335" s="56"/>
      <c r="E335" s="23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55"/>
      <c r="C336" s="55"/>
      <c r="D336" s="56"/>
      <c r="E336" s="23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55"/>
      <c r="C337" s="55"/>
      <c r="D337" s="56"/>
      <c r="E337" s="23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55"/>
      <c r="C338" s="55"/>
      <c r="D338" s="56"/>
      <c r="E338" s="23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55"/>
      <c r="C339" s="55"/>
      <c r="D339" s="56"/>
      <c r="E339" s="23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55"/>
      <c r="C340" s="55"/>
      <c r="D340" s="56"/>
      <c r="E340" s="23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55"/>
      <c r="C341" s="55"/>
      <c r="D341" s="56"/>
      <c r="E341" s="23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55"/>
      <c r="C342" s="55"/>
      <c r="D342" s="56"/>
      <c r="E342" s="23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55"/>
      <c r="C343" s="55"/>
      <c r="D343" s="56"/>
      <c r="E343" s="23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55"/>
      <c r="C344" s="55"/>
      <c r="D344" s="56"/>
      <c r="E344" s="23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55"/>
      <c r="C345" s="55"/>
      <c r="D345" s="56"/>
      <c r="E345" s="23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55"/>
      <c r="C346" s="55"/>
      <c r="D346" s="56"/>
      <c r="E346" s="23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55"/>
      <c r="C347" s="55"/>
      <c r="D347" s="56"/>
      <c r="E347" s="23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55"/>
      <c r="C348" s="55"/>
      <c r="D348" s="56"/>
      <c r="E348" s="23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55"/>
      <c r="C349" s="55"/>
      <c r="D349" s="56"/>
      <c r="E349" s="23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55"/>
      <c r="C350" s="55"/>
      <c r="D350" s="56"/>
      <c r="E350" s="23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55"/>
      <c r="C351" s="55"/>
      <c r="D351" s="56"/>
      <c r="E351" s="23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55"/>
      <c r="C352" s="55"/>
      <c r="D352" s="56"/>
      <c r="E352" s="23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55"/>
      <c r="C353" s="55"/>
      <c r="D353" s="56"/>
      <c r="E353" s="23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55"/>
      <c r="C354" s="55"/>
      <c r="D354" s="56"/>
      <c r="E354" s="23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55"/>
      <c r="C355" s="55"/>
      <c r="D355" s="56"/>
      <c r="E355" s="23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55"/>
      <c r="C356" s="55"/>
      <c r="D356" s="56"/>
      <c r="E356" s="23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55"/>
      <c r="C357" s="55"/>
      <c r="D357" s="56"/>
      <c r="E357" s="23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55"/>
      <c r="C358" s="55"/>
      <c r="D358" s="56"/>
      <c r="E358" s="23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55"/>
      <c r="C359" s="55"/>
      <c r="D359" s="56"/>
      <c r="E359" s="23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55"/>
      <c r="C360" s="55"/>
      <c r="D360" s="56"/>
      <c r="E360" s="23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55"/>
      <c r="C361" s="55"/>
      <c r="D361" s="56"/>
      <c r="E361" s="23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55"/>
      <c r="C362" s="55"/>
      <c r="D362" s="56"/>
      <c r="E362" s="23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55"/>
      <c r="C363" s="55"/>
      <c r="D363" s="56"/>
      <c r="E363" s="23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55"/>
      <c r="C364" s="55"/>
      <c r="D364" s="56"/>
      <c r="E364" s="23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55"/>
      <c r="C365" s="55"/>
      <c r="D365" s="56"/>
      <c r="E365" s="23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55"/>
      <c r="C366" s="55"/>
      <c r="D366" s="56"/>
      <c r="E366" s="23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55"/>
      <c r="C367" s="55"/>
      <c r="D367" s="56"/>
      <c r="E367" s="23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55"/>
      <c r="C368" s="55"/>
      <c r="D368" s="56"/>
      <c r="E368" s="23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55"/>
      <c r="C369" s="55"/>
      <c r="D369" s="56"/>
      <c r="E369" s="23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55"/>
      <c r="C370" s="55"/>
      <c r="D370" s="56"/>
      <c r="E370" s="23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55"/>
      <c r="C371" s="55"/>
      <c r="D371" s="56"/>
      <c r="E371" s="23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55"/>
      <c r="C372" s="55"/>
      <c r="D372" s="56"/>
      <c r="E372" s="23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55"/>
      <c r="C373" s="55"/>
      <c r="D373" s="56"/>
      <c r="E373" s="2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55"/>
      <c r="C374" s="55"/>
      <c r="D374" s="56"/>
      <c r="E374" s="23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55"/>
      <c r="C375" s="55"/>
      <c r="D375" s="56"/>
      <c r="E375" s="23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55"/>
      <c r="C376" s="55"/>
      <c r="D376" s="56"/>
      <c r="E376" s="23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55"/>
      <c r="C377" s="55"/>
      <c r="D377" s="56"/>
      <c r="E377" s="23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55"/>
      <c r="C378" s="55"/>
      <c r="D378" s="56"/>
      <c r="E378" s="23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55"/>
      <c r="C379" s="55"/>
      <c r="D379" s="56"/>
      <c r="E379" s="23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55"/>
      <c r="C380" s="55"/>
      <c r="D380" s="56"/>
      <c r="E380" s="23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55"/>
      <c r="C381" s="55"/>
      <c r="D381" s="56"/>
      <c r="E381" s="23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55"/>
      <c r="C382" s="55"/>
      <c r="D382" s="56"/>
      <c r="E382" s="23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55"/>
      <c r="C383" s="55"/>
      <c r="D383" s="56"/>
      <c r="E383" s="23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55"/>
      <c r="C384" s="55"/>
      <c r="D384" s="56"/>
      <c r="E384" s="23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55"/>
      <c r="C385" s="55"/>
      <c r="D385" s="56"/>
      <c r="E385" s="23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55"/>
      <c r="C386" s="55"/>
      <c r="D386" s="56"/>
      <c r="E386" s="23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55"/>
      <c r="C387" s="55"/>
      <c r="D387" s="56"/>
      <c r="E387" s="23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55"/>
      <c r="C388" s="55"/>
      <c r="D388" s="56"/>
      <c r="E388" s="23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55"/>
      <c r="C389" s="55"/>
      <c r="D389" s="56"/>
      <c r="E389" s="23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55"/>
      <c r="C390" s="55"/>
      <c r="D390" s="56"/>
      <c r="E390" s="23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55"/>
      <c r="C391" s="55"/>
      <c r="D391" s="56"/>
      <c r="E391" s="23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55"/>
      <c r="C392" s="55"/>
      <c r="D392" s="56"/>
      <c r="E392" s="23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55"/>
      <c r="C393" s="55"/>
      <c r="D393" s="56"/>
      <c r="E393" s="23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55"/>
      <c r="C394" s="55"/>
      <c r="D394" s="56"/>
      <c r="E394" s="23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55"/>
      <c r="C395" s="55"/>
      <c r="D395" s="56"/>
      <c r="E395" s="23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55"/>
      <c r="C396" s="55"/>
      <c r="D396" s="56"/>
      <c r="E396" s="23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55"/>
      <c r="C397" s="55"/>
      <c r="D397" s="56"/>
      <c r="E397" s="23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55"/>
      <c r="C398" s="55"/>
      <c r="D398" s="56"/>
      <c r="E398" s="23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55"/>
      <c r="C399" s="55"/>
      <c r="D399" s="56"/>
      <c r="E399" s="23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55"/>
      <c r="C400" s="55"/>
      <c r="D400" s="56"/>
      <c r="E400" s="23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55"/>
      <c r="C401" s="55"/>
      <c r="D401" s="56"/>
      <c r="E401" s="23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55"/>
      <c r="C402" s="55"/>
      <c r="D402" s="56"/>
      <c r="E402" s="23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55"/>
      <c r="C403" s="55"/>
      <c r="D403" s="56"/>
      <c r="E403" s="23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55"/>
      <c r="C404" s="55"/>
      <c r="D404" s="56"/>
      <c r="E404" s="23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55"/>
      <c r="C405" s="55"/>
      <c r="D405" s="56"/>
      <c r="E405" s="23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55"/>
      <c r="C406" s="55"/>
      <c r="D406" s="56"/>
      <c r="E406" s="23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55"/>
      <c r="C407" s="55"/>
      <c r="D407" s="56"/>
      <c r="E407" s="23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55"/>
      <c r="C408" s="55"/>
      <c r="D408" s="56"/>
      <c r="E408" s="23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55"/>
      <c r="C409" s="55"/>
      <c r="D409" s="56"/>
      <c r="E409" s="23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55"/>
      <c r="C410" s="55"/>
      <c r="D410" s="56"/>
      <c r="E410" s="23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55"/>
      <c r="C411" s="55"/>
      <c r="D411" s="56"/>
      <c r="E411" s="23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55"/>
      <c r="C412" s="55"/>
      <c r="D412" s="56"/>
      <c r="E412" s="23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55"/>
      <c r="C413" s="55"/>
      <c r="D413" s="56"/>
      <c r="E413" s="23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55"/>
      <c r="C414" s="55"/>
      <c r="D414" s="56"/>
      <c r="E414" s="23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55"/>
      <c r="C415" s="55"/>
      <c r="D415" s="56"/>
      <c r="E415" s="23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55"/>
      <c r="C416" s="55"/>
      <c r="D416" s="56"/>
      <c r="E416" s="23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55"/>
      <c r="C417" s="55"/>
      <c r="D417" s="56"/>
      <c r="E417" s="23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55"/>
      <c r="C418" s="55"/>
      <c r="D418" s="56"/>
      <c r="E418" s="23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55"/>
      <c r="C419" s="55"/>
      <c r="D419" s="56"/>
      <c r="E419" s="23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55"/>
      <c r="C420" s="55"/>
      <c r="D420" s="56"/>
      <c r="E420" s="23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55"/>
      <c r="C421" s="55"/>
      <c r="D421" s="56"/>
      <c r="E421" s="23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55"/>
      <c r="C422" s="55"/>
      <c r="D422" s="56"/>
      <c r="E422" s="23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55"/>
      <c r="C423" s="55"/>
      <c r="D423" s="56"/>
      <c r="E423" s="23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55"/>
      <c r="C424" s="55"/>
      <c r="D424" s="56"/>
      <c r="E424" s="23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55"/>
      <c r="C425" s="55"/>
      <c r="D425" s="56"/>
      <c r="E425" s="23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55"/>
      <c r="C426" s="55"/>
      <c r="D426" s="56"/>
      <c r="E426" s="23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55"/>
      <c r="C427" s="55"/>
      <c r="D427" s="56"/>
      <c r="E427" s="23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55"/>
      <c r="C428" s="55"/>
      <c r="D428" s="56"/>
      <c r="E428" s="23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55"/>
      <c r="C429" s="55"/>
      <c r="D429" s="56"/>
      <c r="E429" s="23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55"/>
      <c r="C430" s="55"/>
      <c r="D430" s="56"/>
      <c r="E430" s="23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55"/>
      <c r="C431" s="55"/>
      <c r="D431" s="56"/>
      <c r="E431" s="23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55"/>
      <c r="C432" s="55"/>
      <c r="D432" s="56"/>
      <c r="E432" s="23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55"/>
      <c r="C433" s="55"/>
      <c r="D433" s="56"/>
      <c r="E433" s="23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55"/>
      <c r="C434" s="55"/>
      <c r="D434" s="56"/>
      <c r="E434" s="23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55"/>
      <c r="C435" s="55"/>
      <c r="D435" s="56"/>
      <c r="E435" s="23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55"/>
      <c r="C436" s="55"/>
      <c r="D436" s="56"/>
      <c r="E436" s="23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55"/>
      <c r="C437" s="55"/>
      <c r="D437" s="56"/>
      <c r="E437" s="23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55"/>
      <c r="C438" s="55"/>
      <c r="D438" s="56"/>
      <c r="E438" s="23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55"/>
      <c r="C439" s="55"/>
      <c r="D439" s="56"/>
      <c r="E439" s="23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55"/>
      <c r="C440" s="55"/>
      <c r="D440" s="56"/>
      <c r="E440" s="23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55"/>
      <c r="C441" s="55"/>
      <c r="D441" s="56"/>
      <c r="E441" s="23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55"/>
      <c r="C442" s="55"/>
      <c r="D442" s="56"/>
      <c r="E442" s="23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55"/>
      <c r="C443" s="55"/>
      <c r="D443" s="56"/>
      <c r="E443" s="23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55"/>
      <c r="C444" s="55"/>
      <c r="D444" s="56"/>
      <c r="E444" s="23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55"/>
      <c r="C445" s="55"/>
      <c r="D445" s="56"/>
      <c r="E445" s="23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55"/>
      <c r="C446" s="55"/>
      <c r="D446" s="56"/>
      <c r="E446" s="23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55"/>
      <c r="C447" s="55"/>
      <c r="D447" s="56"/>
      <c r="E447" s="23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55"/>
      <c r="C448" s="55"/>
      <c r="D448" s="56"/>
      <c r="E448" s="23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55"/>
      <c r="C449" s="55"/>
      <c r="D449" s="56"/>
      <c r="E449" s="23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55"/>
      <c r="C450" s="55"/>
      <c r="D450" s="56"/>
      <c r="E450" s="23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55"/>
      <c r="C451" s="55"/>
      <c r="D451" s="56"/>
      <c r="E451" s="23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55"/>
      <c r="C452" s="55"/>
      <c r="D452" s="56"/>
      <c r="E452" s="23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55"/>
      <c r="C453" s="55"/>
      <c r="D453" s="56"/>
      <c r="E453" s="23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55"/>
      <c r="C454" s="55"/>
      <c r="D454" s="56"/>
      <c r="E454" s="23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55"/>
      <c r="C455" s="55"/>
      <c r="D455" s="56"/>
      <c r="E455" s="23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55"/>
      <c r="C456" s="55"/>
      <c r="D456" s="56"/>
      <c r="E456" s="23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55"/>
      <c r="C457" s="55"/>
      <c r="D457" s="56"/>
      <c r="E457" s="23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55"/>
      <c r="C458" s="55"/>
      <c r="D458" s="56"/>
      <c r="E458" s="23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55"/>
      <c r="C459" s="55"/>
      <c r="D459" s="56"/>
      <c r="E459" s="23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55"/>
      <c r="C460" s="55"/>
      <c r="D460" s="56"/>
      <c r="E460" s="23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55"/>
      <c r="C461" s="55"/>
      <c r="D461" s="56"/>
      <c r="E461" s="23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55"/>
      <c r="C462" s="55"/>
      <c r="D462" s="56"/>
      <c r="E462" s="23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55"/>
      <c r="C463" s="55"/>
      <c r="D463" s="56"/>
      <c r="E463" s="23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55"/>
      <c r="C464" s="55"/>
      <c r="D464" s="56"/>
      <c r="E464" s="23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55"/>
      <c r="C465" s="55"/>
      <c r="D465" s="56"/>
      <c r="E465" s="23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55"/>
      <c r="C466" s="55"/>
      <c r="D466" s="56"/>
      <c r="E466" s="23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55"/>
      <c r="C467" s="55"/>
      <c r="D467" s="56"/>
      <c r="E467" s="23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55"/>
      <c r="C468" s="55"/>
      <c r="D468" s="56"/>
      <c r="E468" s="23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55"/>
      <c r="C469" s="55"/>
      <c r="D469" s="56"/>
      <c r="E469" s="23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55"/>
      <c r="C470" s="55"/>
      <c r="D470" s="56"/>
      <c r="E470" s="23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55"/>
      <c r="C471" s="55"/>
      <c r="D471" s="56"/>
      <c r="E471" s="23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55"/>
      <c r="C472" s="55"/>
      <c r="D472" s="56"/>
      <c r="E472" s="23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55"/>
      <c r="C473" s="55"/>
      <c r="D473" s="56"/>
      <c r="E473" s="23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55"/>
      <c r="C474" s="55"/>
      <c r="D474" s="56"/>
      <c r="E474" s="23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55"/>
      <c r="C475" s="55"/>
      <c r="D475" s="56"/>
      <c r="E475" s="23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55"/>
      <c r="C476" s="55"/>
      <c r="D476" s="56"/>
      <c r="E476" s="23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55"/>
      <c r="C477" s="55"/>
      <c r="D477" s="56"/>
      <c r="E477" s="23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55"/>
      <c r="C478" s="55"/>
      <c r="D478" s="56"/>
      <c r="E478" s="23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55"/>
      <c r="C479" s="55"/>
      <c r="D479" s="56"/>
      <c r="E479" s="23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55"/>
      <c r="C480" s="55"/>
      <c r="D480" s="56"/>
      <c r="E480" s="23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55"/>
      <c r="C481" s="55"/>
      <c r="D481" s="56"/>
      <c r="E481" s="23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55"/>
      <c r="C482" s="55"/>
      <c r="D482" s="56"/>
      <c r="E482" s="23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55"/>
      <c r="C483" s="55"/>
      <c r="D483" s="56"/>
      <c r="E483" s="23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55"/>
      <c r="C484" s="55"/>
      <c r="D484" s="56"/>
      <c r="E484" s="23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55"/>
      <c r="C485" s="55"/>
      <c r="D485" s="56"/>
      <c r="E485" s="23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55"/>
      <c r="C486" s="55"/>
      <c r="D486" s="56"/>
      <c r="E486" s="23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55"/>
      <c r="C487" s="55"/>
      <c r="D487" s="56"/>
      <c r="E487" s="23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55"/>
      <c r="C488" s="55"/>
      <c r="D488" s="56"/>
      <c r="E488" s="23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55"/>
      <c r="C489" s="55"/>
      <c r="D489" s="56"/>
      <c r="E489" s="23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55"/>
      <c r="C490" s="55"/>
      <c r="D490" s="56"/>
      <c r="E490" s="23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55"/>
      <c r="C491" s="55"/>
      <c r="D491" s="56"/>
      <c r="E491" s="23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55"/>
      <c r="C492" s="55"/>
      <c r="D492" s="56"/>
      <c r="E492" s="23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55"/>
      <c r="C493" s="55"/>
      <c r="D493" s="56"/>
      <c r="E493" s="23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55"/>
      <c r="C494" s="55"/>
      <c r="D494" s="56"/>
      <c r="E494" s="23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55"/>
      <c r="C495" s="55"/>
      <c r="D495" s="56"/>
      <c r="E495" s="23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55"/>
      <c r="C496" s="55"/>
      <c r="D496" s="56"/>
      <c r="E496" s="23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55"/>
      <c r="C497" s="55"/>
      <c r="D497" s="56"/>
      <c r="E497" s="23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55"/>
      <c r="C498" s="55"/>
      <c r="D498" s="56"/>
      <c r="E498" s="23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55"/>
      <c r="C499" s="55"/>
      <c r="D499" s="56"/>
      <c r="E499" s="23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55"/>
      <c r="C500" s="55"/>
      <c r="D500" s="56"/>
      <c r="E500" s="23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55"/>
      <c r="C501" s="55"/>
      <c r="D501" s="56"/>
      <c r="E501" s="23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55"/>
      <c r="C502" s="55"/>
      <c r="D502" s="56"/>
      <c r="E502" s="23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55"/>
      <c r="C503" s="55"/>
      <c r="D503" s="56"/>
      <c r="E503" s="23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55"/>
      <c r="C504" s="55"/>
      <c r="D504" s="56"/>
      <c r="E504" s="23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55"/>
      <c r="C505" s="55"/>
      <c r="D505" s="56"/>
      <c r="E505" s="23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55"/>
      <c r="C506" s="55"/>
      <c r="D506" s="56"/>
      <c r="E506" s="23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55"/>
      <c r="C507" s="55"/>
      <c r="D507" s="56"/>
      <c r="E507" s="23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55"/>
      <c r="C508" s="55"/>
      <c r="D508" s="56"/>
      <c r="E508" s="23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55"/>
      <c r="C509" s="55"/>
      <c r="D509" s="56"/>
      <c r="E509" s="23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55"/>
      <c r="C510" s="55"/>
      <c r="D510" s="56"/>
      <c r="E510" s="23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55"/>
      <c r="C511" s="55"/>
      <c r="D511" s="56"/>
      <c r="E511" s="23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55"/>
      <c r="C512" s="55"/>
      <c r="D512" s="56"/>
      <c r="E512" s="23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55"/>
      <c r="C513" s="55"/>
      <c r="D513" s="56"/>
      <c r="E513" s="23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55"/>
      <c r="C514" s="55"/>
      <c r="D514" s="56"/>
      <c r="E514" s="23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55"/>
      <c r="C515" s="55"/>
      <c r="D515" s="56"/>
      <c r="E515" s="23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55"/>
      <c r="C516" s="55"/>
      <c r="D516" s="56"/>
      <c r="E516" s="23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55"/>
      <c r="C517" s="55"/>
      <c r="D517" s="56"/>
      <c r="E517" s="23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55"/>
      <c r="C518" s="55"/>
      <c r="D518" s="56"/>
      <c r="E518" s="23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55"/>
      <c r="C519" s="55"/>
      <c r="D519" s="56"/>
      <c r="E519" s="23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55"/>
      <c r="C520" s="55"/>
      <c r="D520" s="56"/>
      <c r="E520" s="23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55"/>
      <c r="C521" s="55"/>
      <c r="D521" s="56"/>
      <c r="E521" s="23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55"/>
      <c r="C522" s="55"/>
      <c r="D522" s="56"/>
      <c r="E522" s="23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55"/>
      <c r="C523" s="55"/>
      <c r="D523" s="56"/>
      <c r="E523" s="23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55"/>
      <c r="C524" s="55"/>
      <c r="D524" s="56"/>
      <c r="E524" s="23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55"/>
      <c r="C525" s="55"/>
      <c r="D525" s="56"/>
      <c r="E525" s="23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55"/>
      <c r="C526" s="55"/>
      <c r="D526" s="56"/>
      <c r="E526" s="23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55"/>
      <c r="C527" s="55"/>
      <c r="D527" s="56"/>
      <c r="E527" s="23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55"/>
      <c r="C528" s="55"/>
      <c r="D528" s="56"/>
      <c r="E528" s="23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55"/>
      <c r="C529" s="55"/>
      <c r="D529" s="56"/>
      <c r="E529" s="23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55"/>
      <c r="C530" s="55"/>
      <c r="D530" s="56"/>
      <c r="E530" s="23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55"/>
      <c r="C531" s="55"/>
      <c r="D531" s="56"/>
      <c r="E531" s="23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55"/>
      <c r="C532" s="55"/>
      <c r="D532" s="56"/>
      <c r="E532" s="23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55"/>
      <c r="C533" s="55"/>
      <c r="D533" s="56"/>
      <c r="E533" s="23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55"/>
      <c r="C534" s="55"/>
      <c r="D534" s="56"/>
      <c r="E534" s="23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55"/>
      <c r="C535" s="55"/>
      <c r="D535" s="56"/>
      <c r="E535" s="23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55"/>
      <c r="C536" s="55"/>
      <c r="D536" s="56"/>
      <c r="E536" s="23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55"/>
      <c r="C537" s="55"/>
      <c r="D537" s="56"/>
      <c r="E537" s="23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55"/>
      <c r="C538" s="55"/>
      <c r="D538" s="56"/>
      <c r="E538" s="23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55"/>
      <c r="C539" s="55"/>
      <c r="D539" s="56"/>
      <c r="E539" s="23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55"/>
      <c r="C540" s="55"/>
      <c r="D540" s="56"/>
      <c r="E540" s="23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55"/>
      <c r="C541" s="55"/>
      <c r="D541" s="56"/>
      <c r="E541" s="23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55"/>
      <c r="C542" s="55"/>
      <c r="D542" s="56"/>
      <c r="E542" s="23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55"/>
      <c r="C543" s="55"/>
      <c r="D543" s="56"/>
      <c r="E543" s="23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55"/>
      <c r="C544" s="55"/>
      <c r="D544" s="56"/>
      <c r="E544" s="23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55"/>
      <c r="C545" s="55"/>
      <c r="D545" s="56"/>
      <c r="E545" s="23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55"/>
      <c r="C546" s="55"/>
      <c r="D546" s="56"/>
      <c r="E546" s="23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55"/>
      <c r="C547" s="55"/>
      <c r="D547" s="56"/>
      <c r="E547" s="23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55"/>
      <c r="C548" s="55"/>
      <c r="D548" s="56"/>
      <c r="E548" s="23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55"/>
      <c r="C549" s="55"/>
      <c r="D549" s="56"/>
      <c r="E549" s="23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55"/>
      <c r="C550" s="55"/>
      <c r="D550" s="56"/>
      <c r="E550" s="23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55"/>
      <c r="C551" s="55"/>
      <c r="D551" s="56"/>
      <c r="E551" s="23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55"/>
      <c r="C552" s="55"/>
      <c r="D552" s="56"/>
      <c r="E552" s="23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55"/>
      <c r="C553" s="55"/>
      <c r="D553" s="56"/>
      <c r="E553" s="23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55"/>
      <c r="C554" s="55"/>
      <c r="D554" s="56"/>
      <c r="E554" s="23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55"/>
      <c r="C555" s="55"/>
      <c r="D555" s="56"/>
      <c r="E555" s="23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55"/>
      <c r="C556" s="55"/>
      <c r="D556" s="56"/>
      <c r="E556" s="23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55"/>
      <c r="C557" s="55"/>
      <c r="D557" s="56"/>
      <c r="E557" s="23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55"/>
      <c r="C558" s="55"/>
      <c r="D558" s="56"/>
      <c r="E558" s="23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55"/>
      <c r="C559" s="55"/>
      <c r="D559" s="56"/>
      <c r="E559" s="23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55"/>
      <c r="C560" s="55"/>
      <c r="D560" s="56"/>
      <c r="E560" s="23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55"/>
      <c r="C561" s="55"/>
      <c r="D561" s="56"/>
      <c r="E561" s="23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55"/>
      <c r="C562" s="55"/>
      <c r="D562" s="56"/>
      <c r="E562" s="23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55"/>
      <c r="C563" s="55"/>
      <c r="D563" s="56"/>
      <c r="E563" s="23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55"/>
      <c r="C564" s="55"/>
      <c r="D564" s="56"/>
      <c r="E564" s="23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55"/>
      <c r="C565" s="55"/>
      <c r="D565" s="56"/>
      <c r="E565" s="23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55"/>
      <c r="C566" s="55"/>
      <c r="D566" s="56"/>
      <c r="E566" s="23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55"/>
      <c r="C567" s="55"/>
      <c r="D567" s="56"/>
      <c r="E567" s="23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55"/>
      <c r="C568" s="55"/>
      <c r="D568" s="56"/>
      <c r="E568" s="23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55"/>
      <c r="C569" s="55"/>
      <c r="D569" s="56"/>
      <c r="E569" s="23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55"/>
      <c r="C570" s="55"/>
      <c r="D570" s="56"/>
      <c r="E570" s="23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55"/>
      <c r="C571" s="55"/>
      <c r="D571" s="56"/>
      <c r="E571" s="23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55"/>
      <c r="C572" s="55"/>
      <c r="D572" s="56"/>
      <c r="E572" s="23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55"/>
      <c r="C573" s="55"/>
      <c r="D573" s="56"/>
      <c r="E573" s="23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55"/>
      <c r="C574" s="55"/>
      <c r="D574" s="56"/>
      <c r="E574" s="23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55"/>
      <c r="C575" s="55"/>
      <c r="D575" s="56"/>
      <c r="E575" s="23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55"/>
      <c r="C576" s="55"/>
      <c r="D576" s="56"/>
      <c r="E576" s="23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55"/>
      <c r="C577" s="55"/>
      <c r="D577" s="56"/>
      <c r="E577" s="23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55"/>
      <c r="C578" s="55"/>
      <c r="D578" s="56"/>
      <c r="E578" s="23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55"/>
      <c r="C579" s="55"/>
      <c r="D579" s="56"/>
      <c r="E579" s="23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55"/>
      <c r="C580" s="55"/>
      <c r="D580" s="56"/>
      <c r="E580" s="23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55"/>
      <c r="C581" s="55"/>
      <c r="D581" s="56"/>
      <c r="E581" s="23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55"/>
      <c r="C582" s="55"/>
      <c r="D582" s="56"/>
      <c r="E582" s="23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55"/>
      <c r="C583" s="55"/>
      <c r="D583" s="56"/>
      <c r="E583" s="23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55"/>
      <c r="C584" s="55"/>
      <c r="D584" s="56"/>
      <c r="E584" s="23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55"/>
      <c r="C585" s="55"/>
      <c r="D585" s="56"/>
      <c r="E585" s="23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55"/>
      <c r="C586" s="55"/>
      <c r="D586" s="56"/>
      <c r="E586" s="23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55"/>
      <c r="C587" s="55"/>
      <c r="D587" s="56"/>
      <c r="E587" s="23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55"/>
      <c r="C588" s="55"/>
      <c r="D588" s="56"/>
      <c r="E588" s="23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55"/>
      <c r="C589" s="55"/>
      <c r="D589" s="56"/>
      <c r="E589" s="23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55"/>
      <c r="C590" s="55"/>
      <c r="D590" s="56"/>
      <c r="E590" s="23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55"/>
      <c r="C591" s="55"/>
      <c r="D591" s="56"/>
      <c r="E591" s="23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55"/>
      <c r="C592" s="55"/>
      <c r="D592" s="56"/>
      <c r="E592" s="23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55"/>
      <c r="C593" s="55"/>
      <c r="D593" s="56"/>
      <c r="E593" s="23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55"/>
      <c r="C594" s="55"/>
      <c r="D594" s="56"/>
      <c r="E594" s="23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55"/>
      <c r="C595" s="55"/>
      <c r="D595" s="56"/>
      <c r="E595" s="23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55"/>
      <c r="C596" s="55"/>
      <c r="D596" s="56"/>
      <c r="E596" s="23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55"/>
      <c r="C597" s="55"/>
      <c r="D597" s="56"/>
      <c r="E597" s="23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55"/>
      <c r="C598" s="55"/>
      <c r="D598" s="56"/>
      <c r="E598" s="23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55"/>
      <c r="C599" s="55"/>
      <c r="D599" s="56"/>
      <c r="E599" s="23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55"/>
      <c r="C600" s="55"/>
      <c r="D600" s="56"/>
      <c r="E600" s="23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55"/>
      <c r="C601" s="55"/>
      <c r="D601" s="56"/>
      <c r="E601" s="23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55"/>
      <c r="C602" s="55"/>
      <c r="D602" s="56"/>
      <c r="E602" s="23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55"/>
      <c r="C603" s="55"/>
      <c r="D603" s="56"/>
      <c r="E603" s="23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55"/>
      <c r="C604" s="55"/>
      <c r="D604" s="56"/>
      <c r="E604" s="23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55"/>
      <c r="C605" s="55"/>
      <c r="D605" s="56"/>
      <c r="E605" s="23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55"/>
      <c r="C606" s="55"/>
      <c r="D606" s="56"/>
      <c r="E606" s="23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55"/>
      <c r="C607" s="55"/>
      <c r="D607" s="56"/>
      <c r="E607" s="23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55"/>
      <c r="C608" s="55"/>
      <c r="D608" s="56"/>
      <c r="E608" s="23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55"/>
      <c r="C609" s="55"/>
      <c r="D609" s="56"/>
      <c r="E609" s="23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55"/>
      <c r="C610" s="55"/>
      <c r="D610" s="56"/>
      <c r="E610" s="23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55"/>
      <c r="C611" s="55"/>
      <c r="D611" s="56"/>
      <c r="E611" s="23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55"/>
      <c r="C612" s="55"/>
      <c r="D612" s="56"/>
      <c r="E612" s="23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55"/>
      <c r="C613" s="55"/>
      <c r="D613" s="56"/>
      <c r="E613" s="23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55"/>
      <c r="C614" s="55"/>
      <c r="D614" s="56"/>
      <c r="E614" s="23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55"/>
      <c r="C615" s="55"/>
      <c r="D615" s="56"/>
      <c r="E615" s="23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55"/>
      <c r="C616" s="55"/>
      <c r="D616" s="56"/>
      <c r="E616" s="23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55"/>
      <c r="C617" s="55"/>
      <c r="D617" s="56"/>
      <c r="E617" s="23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55"/>
      <c r="C618" s="55"/>
      <c r="D618" s="56"/>
      <c r="E618" s="23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55"/>
      <c r="C619" s="55"/>
      <c r="D619" s="56"/>
      <c r="E619" s="23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55"/>
      <c r="C620" s="55"/>
      <c r="D620" s="56"/>
      <c r="E620" s="23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55"/>
      <c r="C621" s="55"/>
      <c r="D621" s="56"/>
      <c r="E621" s="23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55"/>
      <c r="C622" s="55"/>
      <c r="D622" s="56"/>
      <c r="E622" s="23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55"/>
      <c r="C623" s="55"/>
      <c r="D623" s="56"/>
      <c r="E623" s="23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55"/>
      <c r="C624" s="55"/>
      <c r="D624" s="56"/>
      <c r="E624" s="23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55"/>
      <c r="C625" s="55"/>
      <c r="D625" s="56"/>
      <c r="E625" s="23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55"/>
      <c r="C626" s="55"/>
      <c r="D626" s="56"/>
      <c r="E626" s="23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55"/>
      <c r="C627" s="55"/>
      <c r="D627" s="56"/>
      <c r="E627" s="23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55"/>
      <c r="C628" s="55"/>
      <c r="D628" s="56"/>
      <c r="E628" s="23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55"/>
      <c r="C629" s="55"/>
      <c r="D629" s="56"/>
      <c r="E629" s="23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55"/>
      <c r="C630" s="55"/>
      <c r="D630" s="56"/>
      <c r="E630" s="23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55"/>
      <c r="C631" s="55"/>
      <c r="D631" s="56"/>
      <c r="E631" s="23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55"/>
      <c r="C632" s="55"/>
      <c r="D632" s="56"/>
      <c r="E632" s="23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55"/>
      <c r="C633" s="55"/>
      <c r="D633" s="56"/>
      <c r="E633" s="23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55"/>
      <c r="C634" s="55"/>
      <c r="D634" s="56"/>
      <c r="E634" s="23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55"/>
      <c r="C635" s="55"/>
      <c r="D635" s="56"/>
      <c r="E635" s="23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55"/>
      <c r="C636" s="55"/>
      <c r="D636" s="56"/>
      <c r="E636" s="23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55"/>
      <c r="C637" s="55"/>
      <c r="D637" s="56"/>
      <c r="E637" s="23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55"/>
      <c r="C638" s="55"/>
      <c r="D638" s="56"/>
      <c r="E638" s="23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55"/>
      <c r="C639" s="55"/>
      <c r="D639" s="56"/>
      <c r="E639" s="23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55"/>
      <c r="C640" s="55"/>
      <c r="D640" s="56"/>
      <c r="E640" s="23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55"/>
      <c r="C641" s="55"/>
      <c r="D641" s="56"/>
      <c r="E641" s="23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55"/>
      <c r="C642" s="55"/>
      <c r="D642" s="56"/>
      <c r="E642" s="23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55"/>
      <c r="C643" s="55"/>
      <c r="D643" s="56"/>
      <c r="E643" s="23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55"/>
      <c r="C644" s="55"/>
      <c r="D644" s="56"/>
      <c r="E644" s="23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55"/>
      <c r="C645" s="55"/>
      <c r="D645" s="56"/>
      <c r="E645" s="23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55"/>
      <c r="C646" s="55"/>
      <c r="D646" s="56"/>
      <c r="E646" s="23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55"/>
      <c r="C647" s="55"/>
      <c r="D647" s="56"/>
      <c r="E647" s="23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55"/>
      <c r="C648" s="55"/>
      <c r="D648" s="56"/>
      <c r="E648" s="23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55"/>
      <c r="C649" s="55"/>
      <c r="D649" s="56"/>
      <c r="E649" s="23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55"/>
      <c r="C650" s="55"/>
      <c r="D650" s="56"/>
      <c r="E650" s="23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55"/>
      <c r="C651" s="55"/>
      <c r="D651" s="56"/>
      <c r="E651" s="23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55"/>
      <c r="C652" s="55"/>
      <c r="D652" s="56"/>
      <c r="E652" s="23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55"/>
      <c r="C653" s="55"/>
      <c r="D653" s="56"/>
      <c r="E653" s="23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55"/>
      <c r="C654" s="55"/>
      <c r="D654" s="56"/>
      <c r="E654" s="23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55"/>
      <c r="C655" s="55"/>
      <c r="D655" s="56"/>
      <c r="E655" s="23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55"/>
      <c r="C656" s="55"/>
      <c r="D656" s="56"/>
      <c r="E656" s="23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55"/>
      <c r="C657" s="55"/>
      <c r="D657" s="56"/>
      <c r="E657" s="23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55"/>
      <c r="C658" s="55"/>
      <c r="D658" s="56"/>
      <c r="E658" s="23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55"/>
      <c r="C659" s="55"/>
      <c r="D659" s="56"/>
      <c r="E659" s="23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55"/>
      <c r="C660" s="55"/>
      <c r="D660" s="56"/>
      <c r="E660" s="23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55"/>
      <c r="C661" s="55"/>
      <c r="D661" s="56"/>
      <c r="E661" s="23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55"/>
      <c r="C662" s="55"/>
      <c r="D662" s="56"/>
      <c r="E662" s="23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55"/>
      <c r="C663" s="55"/>
      <c r="D663" s="56"/>
      <c r="E663" s="23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55"/>
      <c r="C664" s="55"/>
      <c r="D664" s="56"/>
      <c r="E664" s="23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55"/>
      <c r="C665" s="55"/>
      <c r="D665" s="56"/>
      <c r="E665" s="23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55"/>
      <c r="C666" s="55"/>
      <c r="D666" s="56"/>
      <c r="E666" s="23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55"/>
      <c r="C667" s="55"/>
      <c r="D667" s="56"/>
      <c r="E667" s="23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55"/>
      <c r="C668" s="55"/>
      <c r="D668" s="56"/>
      <c r="E668" s="23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55"/>
      <c r="C669" s="55"/>
      <c r="D669" s="56"/>
      <c r="E669" s="23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55"/>
      <c r="C670" s="55"/>
      <c r="D670" s="56"/>
      <c r="E670" s="23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55"/>
      <c r="C671" s="55"/>
      <c r="D671" s="56"/>
      <c r="E671" s="23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55"/>
      <c r="C672" s="55"/>
      <c r="D672" s="56"/>
      <c r="E672" s="23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55"/>
      <c r="C673" s="55"/>
      <c r="D673" s="56"/>
      <c r="E673" s="23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55"/>
      <c r="C674" s="55"/>
      <c r="D674" s="56"/>
      <c r="E674" s="23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55"/>
      <c r="C675" s="55"/>
      <c r="D675" s="56"/>
      <c r="E675" s="23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55"/>
      <c r="C676" s="55"/>
      <c r="D676" s="56"/>
      <c r="E676" s="23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55"/>
      <c r="C677" s="55"/>
      <c r="D677" s="56"/>
      <c r="E677" s="23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55"/>
      <c r="C678" s="55"/>
      <c r="D678" s="56"/>
      <c r="E678" s="23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55"/>
      <c r="C679" s="55"/>
      <c r="D679" s="56"/>
      <c r="E679" s="23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55"/>
      <c r="C680" s="55"/>
      <c r="D680" s="56"/>
      <c r="E680" s="23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55"/>
      <c r="C681" s="55"/>
      <c r="D681" s="56"/>
      <c r="E681" s="23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55"/>
      <c r="C682" s="55"/>
      <c r="D682" s="56"/>
      <c r="E682" s="23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55"/>
      <c r="C683" s="55"/>
      <c r="D683" s="56"/>
      <c r="E683" s="23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55"/>
      <c r="C684" s="55"/>
      <c r="D684" s="56"/>
      <c r="E684" s="23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55"/>
      <c r="C685" s="55"/>
      <c r="D685" s="56"/>
      <c r="E685" s="23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55"/>
      <c r="C686" s="55"/>
      <c r="D686" s="56"/>
      <c r="E686" s="23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55"/>
      <c r="C687" s="55"/>
      <c r="D687" s="56"/>
      <c r="E687" s="23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55"/>
      <c r="C688" s="55"/>
      <c r="D688" s="56"/>
      <c r="E688" s="23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55"/>
      <c r="C689" s="55"/>
      <c r="D689" s="56"/>
      <c r="E689" s="23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55"/>
      <c r="C690" s="55"/>
      <c r="D690" s="56"/>
      <c r="E690" s="23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55"/>
      <c r="C691" s="55"/>
      <c r="D691" s="56"/>
      <c r="E691" s="23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55"/>
      <c r="C692" s="55"/>
      <c r="D692" s="56"/>
      <c r="E692" s="23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55"/>
      <c r="C693" s="55"/>
      <c r="D693" s="56"/>
      <c r="E693" s="23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55"/>
      <c r="C694" s="55"/>
      <c r="D694" s="56"/>
      <c r="E694" s="23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55"/>
      <c r="C695" s="55"/>
      <c r="D695" s="56"/>
      <c r="E695" s="23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55"/>
      <c r="C696" s="55"/>
      <c r="D696" s="56"/>
      <c r="E696" s="23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55"/>
      <c r="C697" s="55"/>
      <c r="D697" s="56"/>
      <c r="E697" s="23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55"/>
      <c r="C698" s="55"/>
      <c r="D698" s="56"/>
      <c r="E698" s="23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55"/>
      <c r="C699" s="55"/>
      <c r="D699" s="56"/>
      <c r="E699" s="23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55"/>
      <c r="C700" s="55"/>
      <c r="D700" s="56"/>
      <c r="E700" s="23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55"/>
      <c r="C701" s="55"/>
      <c r="D701" s="56"/>
      <c r="E701" s="23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55"/>
      <c r="C702" s="55"/>
      <c r="D702" s="56"/>
      <c r="E702" s="23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55"/>
      <c r="C703" s="55"/>
      <c r="D703" s="56"/>
      <c r="E703" s="23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55"/>
      <c r="C704" s="55"/>
      <c r="D704" s="56"/>
      <c r="E704" s="23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55"/>
      <c r="C705" s="55"/>
      <c r="D705" s="56"/>
      <c r="E705" s="23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55"/>
      <c r="C706" s="55"/>
      <c r="D706" s="56"/>
      <c r="E706" s="23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55"/>
      <c r="C707" s="55"/>
      <c r="D707" s="56"/>
      <c r="E707" s="23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55"/>
      <c r="C708" s="55"/>
      <c r="D708" s="56"/>
      <c r="E708" s="23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55"/>
      <c r="C709" s="55"/>
      <c r="D709" s="56"/>
      <c r="E709" s="23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55"/>
      <c r="C710" s="55"/>
      <c r="D710" s="56"/>
      <c r="E710" s="23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55"/>
      <c r="C711" s="55"/>
      <c r="D711" s="56"/>
      <c r="E711" s="23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55"/>
      <c r="C712" s="55"/>
      <c r="D712" s="56"/>
      <c r="E712" s="23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55"/>
      <c r="C713" s="55"/>
      <c r="D713" s="56"/>
      <c r="E713" s="23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55"/>
      <c r="C714" s="55"/>
      <c r="D714" s="56"/>
      <c r="E714" s="23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55"/>
      <c r="C715" s="55"/>
      <c r="D715" s="56"/>
      <c r="E715" s="23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55"/>
      <c r="C716" s="55"/>
      <c r="D716" s="56"/>
      <c r="E716" s="23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55"/>
      <c r="C717" s="55"/>
      <c r="D717" s="56"/>
      <c r="E717" s="23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55"/>
      <c r="C718" s="55"/>
      <c r="D718" s="56"/>
      <c r="E718" s="23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55"/>
      <c r="C719" s="55"/>
      <c r="D719" s="56"/>
      <c r="E719" s="23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55"/>
      <c r="C720" s="55"/>
      <c r="D720" s="56"/>
      <c r="E720" s="23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55"/>
      <c r="C721" s="55"/>
      <c r="D721" s="56"/>
      <c r="E721" s="23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55"/>
      <c r="C722" s="55"/>
      <c r="D722" s="56"/>
      <c r="E722" s="23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55"/>
      <c r="C723" s="55"/>
      <c r="D723" s="56"/>
      <c r="E723" s="23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55"/>
      <c r="C724" s="55"/>
      <c r="D724" s="56"/>
      <c r="E724" s="23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55"/>
      <c r="C725" s="55"/>
      <c r="D725" s="56"/>
      <c r="E725" s="23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55"/>
      <c r="C726" s="55"/>
      <c r="D726" s="56"/>
      <c r="E726" s="23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55"/>
      <c r="C727" s="55"/>
      <c r="D727" s="56"/>
      <c r="E727" s="23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55"/>
      <c r="C728" s="55"/>
      <c r="D728" s="56"/>
      <c r="E728" s="23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55"/>
      <c r="C729" s="55"/>
      <c r="D729" s="56"/>
      <c r="E729" s="23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55"/>
      <c r="C730" s="55"/>
      <c r="D730" s="56"/>
      <c r="E730" s="23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55"/>
      <c r="C731" s="55"/>
      <c r="D731" s="56"/>
      <c r="E731" s="23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55"/>
      <c r="C732" s="55"/>
      <c r="D732" s="56"/>
      <c r="E732" s="23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55"/>
      <c r="C733" s="55"/>
      <c r="D733" s="56"/>
      <c r="E733" s="23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55"/>
      <c r="C734" s="55"/>
      <c r="D734" s="56"/>
      <c r="E734" s="23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55"/>
      <c r="C735" s="55"/>
      <c r="D735" s="56"/>
      <c r="E735" s="23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55"/>
      <c r="C736" s="55"/>
      <c r="D736" s="56"/>
      <c r="E736" s="23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55"/>
      <c r="C737" s="55"/>
      <c r="D737" s="56"/>
      <c r="E737" s="23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55"/>
      <c r="C738" s="55"/>
      <c r="D738" s="56"/>
      <c r="E738" s="23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55"/>
      <c r="C739" s="55"/>
      <c r="D739" s="56"/>
      <c r="E739" s="23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55"/>
      <c r="C740" s="55"/>
      <c r="D740" s="56"/>
      <c r="E740" s="23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55"/>
      <c r="C741" s="55"/>
      <c r="D741" s="56"/>
      <c r="E741" s="23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55"/>
      <c r="C742" s="55"/>
      <c r="D742" s="56"/>
      <c r="E742" s="23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55"/>
      <c r="C743" s="55"/>
      <c r="D743" s="56"/>
      <c r="E743" s="23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55"/>
      <c r="C744" s="55"/>
      <c r="D744" s="56"/>
      <c r="E744" s="23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55"/>
      <c r="C745" s="55"/>
      <c r="D745" s="56"/>
      <c r="E745" s="23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55"/>
      <c r="C746" s="55"/>
      <c r="D746" s="56"/>
      <c r="E746" s="23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55"/>
      <c r="C747" s="55"/>
      <c r="D747" s="56"/>
      <c r="E747" s="23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55"/>
      <c r="C748" s="55"/>
      <c r="D748" s="56"/>
      <c r="E748" s="23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55"/>
      <c r="C749" s="55"/>
      <c r="D749" s="56"/>
      <c r="E749" s="23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55"/>
      <c r="C750" s="55"/>
      <c r="D750" s="56"/>
      <c r="E750" s="23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55"/>
      <c r="C751" s="55"/>
      <c r="D751" s="56"/>
      <c r="E751" s="23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55"/>
      <c r="C752" s="55"/>
      <c r="D752" s="56"/>
      <c r="E752" s="23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55"/>
      <c r="C753" s="55"/>
      <c r="D753" s="56"/>
      <c r="E753" s="23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55"/>
      <c r="C754" s="55"/>
      <c r="D754" s="56"/>
      <c r="E754" s="23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55"/>
      <c r="C755" s="55"/>
      <c r="D755" s="56"/>
      <c r="E755" s="23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55"/>
      <c r="C756" s="55"/>
      <c r="D756" s="56"/>
      <c r="E756" s="23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55"/>
      <c r="C757" s="55"/>
      <c r="D757" s="56"/>
      <c r="E757" s="23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55"/>
      <c r="C758" s="55"/>
      <c r="D758" s="56"/>
      <c r="E758" s="23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55"/>
      <c r="C759" s="55"/>
      <c r="D759" s="56"/>
      <c r="E759" s="23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55"/>
      <c r="C760" s="55"/>
      <c r="D760" s="56"/>
      <c r="E760" s="23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55"/>
      <c r="C761" s="55"/>
      <c r="D761" s="56"/>
      <c r="E761" s="23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55"/>
      <c r="C762" s="55"/>
      <c r="D762" s="56"/>
      <c r="E762" s="23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55"/>
      <c r="C763" s="55"/>
      <c r="D763" s="56"/>
      <c r="E763" s="23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55"/>
      <c r="C764" s="55"/>
      <c r="D764" s="56"/>
      <c r="E764" s="23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55"/>
      <c r="C765" s="55"/>
      <c r="D765" s="56"/>
      <c r="E765" s="23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55"/>
      <c r="C766" s="55"/>
      <c r="D766" s="56"/>
      <c r="E766" s="23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55"/>
      <c r="C767" s="55"/>
      <c r="D767" s="56"/>
      <c r="E767" s="23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55"/>
      <c r="C768" s="55"/>
      <c r="D768" s="56"/>
      <c r="E768" s="23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55"/>
      <c r="C769" s="55"/>
      <c r="D769" s="56"/>
      <c r="E769" s="23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55"/>
      <c r="C770" s="55"/>
      <c r="D770" s="56"/>
      <c r="E770" s="23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55"/>
      <c r="C771" s="55"/>
      <c r="D771" s="56"/>
      <c r="E771" s="23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55"/>
      <c r="C772" s="55"/>
      <c r="D772" s="56"/>
      <c r="E772" s="23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55"/>
      <c r="C773" s="55"/>
      <c r="D773" s="56"/>
      <c r="E773" s="23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55"/>
      <c r="C774" s="55"/>
      <c r="D774" s="56"/>
      <c r="E774" s="23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55"/>
      <c r="C775" s="55"/>
      <c r="D775" s="56"/>
      <c r="E775" s="23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55"/>
      <c r="C776" s="55"/>
      <c r="D776" s="56"/>
      <c r="E776" s="23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55"/>
      <c r="C777" s="55"/>
      <c r="D777" s="56"/>
      <c r="E777" s="23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55"/>
      <c r="C778" s="55"/>
      <c r="D778" s="56"/>
      <c r="E778" s="23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55"/>
      <c r="C779" s="55"/>
      <c r="D779" s="56"/>
      <c r="E779" s="23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55"/>
      <c r="C780" s="55"/>
      <c r="D780" s="56"/>
      <c r="E780" s="23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55"/>
      <c r="C781" s="55"/>
      <c r="D781" s="56"/>
      <c r="E781" s="23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55"/>
      <c r="C782" s="55"/>
      <c r="D782" s="56"/>
      <c r="E782" s="23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55"/>
      <c r="C783" s="55"/>
      <c r="D783" s="56"/>
      <c r="E783" s="23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55"/>
      <c r="C784" s="55"/>
      <c r="D784" s="56"/>
      <c r="E784" s="23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55"/>
      <c r="C785" s="55"/>
      <c r="D785" s="56"/>
      <c r="E785" s="23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55"/>
      <c r="C786" s="55"/>
      <c r="D786" s="56"/>
      <c r="E786" s="23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55"/>
      <c r="C787" s="55"/>
      <c r="D787" s="56"/>
      <c r="E787" s="23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55"/>
      <c r="C788" s="55"/>
      <c r="D788" s="56"/>
      <c r="E788" s="23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55"/>
      <c r="C789" s="55"/>
      <c r="D789" s="56"/>
      <c r="E789" s="23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55"/>
      <c r="C790" s="55"/>
      <c r="D790" s="56"/>
      <c r="E790" s="23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55"/>
      <c r="C791" s="55"/>
      <c r="D791" s="56"/>
      <c r="E791" s="23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55"/>
      <c r="C792" s="55"/>
      <c r="D792" s="56"/>
      <c r="E792" s="23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55"/>
      <c r="C793" s="55"/>
      <c r="D793" s="56"/>
      <c r="E793" s="23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55"/>
      <c r="C794" s="55"/>
      <c r="D794" s="56"/>
      <c r="E794" s="23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55"/>
      <c r="C795" s="55"/>
      <c r="D795" s="56"/>
      <c r="E795" s="23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55"/>
      <c r="C796" s="55"/>
      <c r="D796" s="56"/>
      <c r="E796" s="23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55"/>
      <c r="C797" s="55"/>
      <c r="D797" s="56"/>
      <c r="E797" s="23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55"/>
      <c r="C798" s="55"/>
      <c r="D798" s="56"/>
      <c r="E798" s="23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55"/>
      <c r="C799" s="55"/>
      <c r="D799" s="56"/>
      <c r="E799" s="23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55"/>
      <c r="C800" s="55"/>
      <c r="D800" s="56"/>
      <c r="E800" s="23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55"/>
      <c r="C801" s="55"/>
      <c r="D801" s="56"/>
      <c r="E801" s="23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55"/>
      <c r="C802" s="55"/>
      <c r="D802" s="56"/>
      <c r="E802" s="23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55"/>
      <c r="C803" s="55"/>
      <c r="D803" s="56"/>
      <c r="E803" s="23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55"/>
      <c r="C804" s="55"/>
      <c r="D804" s="56"/>
      <c r="E804" s="23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55"/>
      <c r="C805" s="55"/>
      <c r="D805" s="56"/>
      <c r="E805" s="23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55"/>
      <c r="C806" s="55"/>
      <c r="D806" s="56"/>
      <c r="E806" s="23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55"/>
      <c r="C807" s="55"/>
      <c r="D807" s="56"/>
      <c r="E807" s="23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55"/>
      <c r="C808" s="55"/>
      <c r="D808" s="56"/>
      <c r="E808" s="23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55"/>
      <c r="C809" s="55"/>
      <c r="D809" s="56"/>
      <c r="E809" s="23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55"/>
      <c r="C810" s="55"/>
      <c r="D810" s="56"/>
      <c r="E810" s="23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55"/>
      <c r="C811" s="55"/>
      <c r="D811" s="56"/>
      <c r="E811" s="23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55"/>
      <c r="C812" s="55"/>
      <c r="D812" s="56"/>
      <c r="E812" s="23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55"/>
      <c r="C813" s="55"/>
      <c r="D813" s="56"/>
      <c r="E813" s="23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55"/>
      <c r="C814" s="55"/>
      <c r="D814" s="56"/>
      <c r="E814" s="23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55"/>
      <c r="C815" s="55"/>
      <c r="D815" s="56"/>
      <c r="E815" s="23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55"/>
      <c r="C816" s="55"/>
      <c r="D816" s="56"/>
      <c r="E816" s="23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55"/>
      <c r="C817" s="55"/>
      <c r="D817" s="56"/>
      <c r="E817" s="23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55"/>
      <c r="C818" s="55"/>
      <c r="D818" s="56"/>
      <c r="E818" s="23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55"/>
      <c r="C819" s="55"/>
      <c r="D819" s="56"/>
      <c r="E819" s="23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55"/>
      <c r="C820" s="55"/>
      <c r="D820" s="56"/>
      <c r="E820" s="23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55"/>
      <c r="C821" s="55"/>
      <c r="D821" s="56"/>
      <c r="E821" s="23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55"/>
      <c r="C822" s="55"/>
      <c r="D822" s="56"/>
      <c r="E822" s="23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55"/>
      <c r="C823" s="55"/>
      <c r="D823" s="56"/>
      <c r="E823" s="23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55"/>
      <c r="C824" s="55"/>
      <c r="D824" s="56"/>
      <c r="E824" s="23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55"/>
      <c r="C825" s="55"/>
      <c r="D825" s="56"/>
      <c r="E825" s="23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55"/>
      <c r="C826" s="55"/>
      <c r="D826" s="56"/>
      <c r="E826" s="23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55"/>
      <c r="C827" s="55"/>
      <c r="D827" s="56"/>
      <c r="E827" s="23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55"/>
      <c r="C828" s="55"/>
      <c r="D828" s="56"/>
      <c r="E828" s="23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55"/>
      <c r="C829" s="55"/>
      <c r="D829" s="56"/>
      <c r="E829" s="23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55"/>
      <c r="C830" s="55"/>
      <c r="D830" s="56"/>
      <c r="E830" s="23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55"/>
      <c r="C831" s="55"/>
      <c r="D831" s="56"/>
      <c r="E831" s="23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55"/>
      <c r="C832" s="55"/>
      <c r="D832" s="56"/>
      <c r="E832" s="23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55"/>
      <c r="C833" s="55"/>
      <c r="D833" s="56"/>
      <c r="E833" s="23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55"/>
      <c r="C834" s="55"/>
      <c r="D834" s="56"/>
      <c r="E834" s="23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55"/>
      <c r="C835" s="55"/>
      <c r="D835" s="56"/>
      <c r="E835" s="23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55"/>
      <c r="C836" s="55"/>
      <c r="D836" s="56"/>
      <c r="E836" s="23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55"/>
      <c r="C837" s="55"/>
      <c r="D837" s="56"/>
      <c r="E837" s="23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55"/>
      <c r="C838" s="55"/>
      <c r="D838" s="56"/>
      <c r="E838" s="23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55"/>
      <c r="C839" s="55"/>
      <c r="D839" s="56"/>
      <c r="E839" s="23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55"/>
      <c r="C840" s="55"/>
      <c r="D840" s="56"/>
      <c r="E840" s="23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55"/>
      <c r="C841" s="55"/>
      <c r="D841" s="56"/>
      <c r="E841" s="23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55"/>
      <c r="C842" s="55"/>
      <c r="D842" s="56"/>
      <c r="E842" s="23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55"/>
      <c r="C843" s="55"/>
      <c r="D843" s="56"/>
      <c r="E843" s="23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55"/>
      <c r="C844" s="55"/>
      <c r="D844" s="56"/>
      <c r="E844" s="23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55"/>
      <c r="C845" s="55"/>
      <c r="D845" s="56"/>
      <c r="E845" s="23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55"/>
      <c r="C846" s="55"/>
      <c r="D846" s="56"/>
      <c r="E846" s="23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55"/>
      <c r="C847" s="55"/>
      <c r="D847" s="56"/>
      <c r="E847" s="23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55"/>
      <c r="C848" s="55"/>
      <c r="D848" s="56"/>
      <c r="E848" s="23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55"/>
      <c r="C849" s="55"/>
      <c r="D849" s="56"/>
      <c r="E849" s="23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55"/>
      <c r="C850" s="55"/>
      <c r="D850" s="56"/>
      <c r="E850" s="23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55"/>
      <c r="C851" s="55"/>
      <c r="D851" s="56"/>
      <c r="E851" s="23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55"/>
      <c r="C852" s="55"/>
      <c r="D852" s="56"/>
      <c r="E852" s="23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55"/>
      <c r="C853" s="55"/>
      <c r="D853" s="56"/>
      <c r="E853" s="23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55"/>
      <c r="C854" s="55"/>
      <c r="D854" s="56"/>
      <c r="E854" s="23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55"/>
      <c r="C855" s="55"/>
      <c r="D855" s="56"/>
      <c r="E855" s="23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55"/>
      <c r="C856" s="55"/>
      <c r="D856" s="56"/>
      <c r="E856" s="23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55"/>
      <c r="C857" s="55"/>
      <c r="D857" s="56"/>
      <c r="E857" s="23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55"/>
      <c r="C858" s="55"/>
      <c r="D858" s="56"/>
      <c r="E858" s="23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55"/>
      <c r="C859" s="55"/>
      <c r="D859" s="56"/>
      <c r="E859" s="23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55"/>
      <c r="C860" s="55"/>
      <c r="D860" s="56"/>
      <c r="E860" s="23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55"/>
      <c r="C861" s="55"/>
      <c r="D861" s="56"/>
      <c r="E861" s="23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55"/>
      <c r="C862" s="55"/>
      <c r="D862" s="56"/>
      <c r="E862" s="23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55"/>
      <c r="C863" s="55"/>
      <c r="D863" s="56"/>
      <c r="E863" s="23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55"/>
      <c r="C864" s="55"/>
      <c r="D864" s="56"/>
      <c r="E864" s="23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55"/>
      <c r="C865" s="55"/>
      <c r="D865" s="56"/>
      <c r="E865" s="23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55"/>
      <c r="C866" s="55"/>
      <c r="D866" s="56"/>
      <c r="E866" s="23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55"/>
      <c r="C867" s="55"/>
      <c r="D867" s="56"/>
      <c r="E867" s="23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55"/>
      <c r="C868" s="55"/>
      <c r="D868" s="56"/>
      <c r="E868" s="23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55"/>
      <c r="C869" s="55"/>
      <c r="D869" s="56"/>
      <c r="E869" s="23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55"/>
      <c r="C870" s="55"/>
      <c r="D870" s="56"/>
      <c r="E870" s="23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55"/>
      <c r="C871" s="55"/>
      <c r="D871" s="56"/>
      <c r="E871" s="23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55"/>
      <c r="C872" s="55"/>
      <c r="D872" s="56"/>
      <c r="E872" s="23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55"/>
      <c r="C873" s="55"/>
      <c r="D873" s="56"/>
      <c r="E873" s="23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55"/>
      <c r="C874" s="55"/>
      <c r="D874" s="56"/>
      <c r="E874" s="23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55"/>
      <c r="C875" s="55"/>
      <c r="D875" s="56"/>
      <c r="E875" s="23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55"/>
      <c r="C876" s="55"/>
      <c r="D876" s="56"/>
      <c r="E876" s="23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55"/>
      <c r="C877" s="55"/>
      <c r="D877" s="56"/>
      <c r="E877" s="23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55"/>
      <c r="C878" s="55"/>
      <c r="D878" s="56"/>
      <c r="E878" s="23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55"/>
      <c r="C879" s="55"/>
      <c r="D879" s="56"/>
      <c r="E879" s="23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55"/>
      <c r="C880" s="55"/>
      <c r="D880" s="56"/>
      <c r="E880" s="23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55"/>
      <c r="C881" s="55"/>
      <c r="D881" s="56"/>
      <c r="E881" s="23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55"/>
      <c r="C882" s="55"/>
      <c r="D882" s="56"/>
      <c r="E882" s="23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55"/>
      <c r="C883" s="55"/>
      <c r="D883" s="56"/>
      <c r="E883" s="23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55"/>
      <c r="C884" s="55"/>
      <c r="D884" s="56"/>
      <c r="E884" s="23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55"/>
      <c r="C885" s="55"/>
      <c r="D885" s="56"/>
      <c r="E885" s="23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55"/>
      <c r="C886" s="55"/>
      <c r="D886" s="56"/>
      <c r="E886" s="23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55"/>
      <c r="C887" s="55"/>
      <c r="D887" s="56"/>
      <c r="E887" s="23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55"/>
      <c r="C888" s="55"/>
      <c r="D888" s="56"/>
      <c r="E888" s="23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55"/>
      <c r="C889" s="55"/>
      <c r="D889" s="56"/>
      <c r="E889" s="23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55"/>
      <c r="C890" s="55"/>
      <c r="D890" s="56"/>
      <c r="E890" s="23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55"/>
      <c r="C891" s="55"/>
      <c r="D891" s="56"/>
      <c r="E891" s="23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55"/>
      <c r="C892" s="55"/>
      <c r="D892" s="56"/>
      <c r="E892" s="23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55"/>
      <c r="C893" s="55"/>
      <c r="D893" s="56"/>
      <c r="E893" s="23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55"/>
      <c r="C894" s="55"/>
      <c r="D894" s="56"/>
      <c r="E894" s="23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55"/>
      <c r="C895" s="55"/>
      <c r="D895" s="56"/>
      <c r="E895" s="23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55"/>
      <c r="C896" s="55"/>
      <c r="D896" s="56"/>
      <c r="E896" s="23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55"/>
      <c r="C897" s="55"/>
      <c r="D897" s="56"/>
      <c r="E897" s="23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55"/>
      <c r="C898" s="55"/>
      <c r="D898" s="56"/>
      <c r="E898" s="23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55"/>
      <c r="C899" s="55"/>
      <c r="D899" s="56"/>
      <c r="E899" s="23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55"/>
      <c r="C900" s="55"/>
      <c r="D900" s="56"/>
      <c r="E900" s="23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55"/>
      <c r="C901" s="55"/>
      <c r="D901" s="56"/>
      <c r="E901" s="23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55"/>
      <c r="C902" s="55"/>
      <c r="D902" s="56"/>
      <c r="E902" s="23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55"/>
      <c r="C903" s="55"/>
      <c r="D903" s="56"/>
      <c r="E903" s="23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55"/>
      <c r="C904" s="55"/>
      <c r="D904" s="56"/>
      <c r="E904" s="23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55"/>
      <c r="C905" s="55"/>
      <c r="D905" s="56"/>
      <c r="E905" s="23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55"/>
      <c r="C906" s="55"/>
      <c r="D906" s="56"/>
      <c r="E906" s="23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55"/>
      <c r="C907" s="55"/>
      <c r="D907" s="56"/>
      <c r="E907" s="23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55"/>
      <c r="C908" s="55"/>
      <c r="D908" s="56"/>
      <c r="E908" s="23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55"/>
      <c r="C909" s="55"/>
      <c r="D909" s="56"/>
      <c r="E909" s="23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55"/>
      <c r="C910" s="55"/>
      <c r="D910" s="56"/>
      <c r="E910" s="23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55"/>
      <c r="C911" s="55"/>
      <c r="D911" s="56"/>
      <c r="E911" s="23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55"/>
      <c r="C912" s="55"/>
      <c r="D912" s="56"/>
      <c r="E912" s="23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55"/>
      <c r="C913" s="55"/>
      <c r="D913" s="56"/>
      <c r="E913" s="23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55"/>
      <c r="C914" s="55"/>
      <c r="D914" s="56"/>
      <c r="E914" s="23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55"/>
      <c r="C915" s="55"/>
      <c r="D915" s="56"/>
      <c r="E915" s="23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55"/>
      <c r="C916" s="55"/>
      <c r="D916" s="56"/>
      <c r="E916" s="23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55"/>
      <c r="C917" s="55"/>
      <c r="D917" s="56"/>
      <c r="E917" s="23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55"/>
      <c r="C918" s="55"/>
      <c r="D918" s="56"/>
      <c r="E918" s="23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55"/>
      <c r="C919" s="55"/>
      <c r="D919" s="56"/>
      <c r="E919" s="23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55"/>
      <c r="C920" s="55"/>
      <c r="D920" s="56"/>
      <c r="E920" s="23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55"/>
      <c r="C921" s="55"/>
      <c r="D921" s="56"/>
      <c r="E921" s="23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55"/>
      <c r="C922" s="55"/>
      <c r="D922" s="56"/>
      <c r="E922" s="23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55"/>
      <c r="C923" s="55"/>
      <c r="D923" s="56"/>
      <c r="E923" s="23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55"/>
      <c r="C924" s="55"/>
      <c r="D924" s="56"/>
      <c r="E924" s="23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55"/>
      <c r="C925" s="55"/>
      <c r="D925" s="56"/>
      <c r="E925" s="23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55"/>
      <c r="C926" s="55"/>
      <c r="D926" s="56"/>
      <c r="E926" s="23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55"/>
      <c r="C927" s="55"/>
      <c r="D927" s="56"/>
      <c r="E927" s="23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55"/>
      <c r="C928" s="55"/>
      <c r="D928" s="56"/>
      <c r="E928" s="23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55"/>
      <c r="C929" s="55"/>
      <c r="D929" s="56"/>
      <c r="E929" s="23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55"/>
      <c r="C930" s="55"/>
      <c r="D930" s="56"/>
      <c r="E930" s="23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55"/>
      <c r="C931" s="55"/>
      <c r="D931" s="56"/>
      <c r="E931" s="23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55"/>
      <c r="C932" s="55"/>
      <c r="D932" s="56"/>
      <c r="E932" s="23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55"/>
      <c r="C933" s="55"/>
      <c r="D933" s="56"/>
      <c r="E933" s="23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55"/>
      <c r="C934" s="55"/>
      <c r="D934" s="56"/>
      <c r="E934" s="23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55"/>
      <c r="C935" s="55"/>
      <c r="D935" s="56"/>
      <c r="E935" s="23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55"/>
      <c r="C936" s="55"/>
      <c r="D936" s="56"/>
      <c r="E936" s="23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55"/>
      <c r="C937" s="55"/>
      <c r="D937" s="56"/>
      <c r="E937" s="23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55"/>
      <c r="C938" s="55"/>
      <c r="D938" s="56"/>
      <c r="E938" s="23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55"/>
      <c r="C939" s="55"/>
      <c r="D939" s="56"/>
      <c r="E939" s="23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55"/>
      <c r="C940" s="55"/>
      <c r="D940" s="56"/>
      <c r="E940" s="23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55"/>
      <c r="C941" s="55"/>
      <c r="D941" s="56"/>
      <c r="E941" s="23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55"/>
      <c r="C942" s="55"/>
      <c r="D942" s="56"/>
      <c r="E942" s="23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55"/>
      <c r="C943" s="55"/>
      <c r="D943" s="56"/>
      <c r="E943" s="23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55"/>
      <c r="C944" s="55"/>
      <c r="D944" s="56"/>
      <c r="E944" s="23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55"/>
      <c r="C945" s="55"/>
      <c r="D945" s="56"/>
      <c r="E945" s="23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55"/>
      <c r="C946" s="55"/>
      <c r="D946" s="56"/>
      <c r="E946" s="23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55"/>
      <c r="C947" s="55"/>
      <c r="D947" s="56"/>
      <c r="E947" s="23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55"/>
      <c r="C948" s="55"/>
      <c r="D948" s="56"/>
      <c r="E948" s="23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55"/>
      <c r="C949" s="55"/>
      <c r="D949" s="56"/>
      <c r="E949" s="23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55"/>
      <c r="C950" s="55"/>
      <c r="D950" s="56"/>
      <c r="E950" s="23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55"/>
      <c r="C951" s="55"/>
      <c r="D951" s="56"/>
      <c r="E951" s="23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55"/>
      <c r="C952" s="55"/>
      <c r="D952" s="56"/>
      <c r="E952" s="23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55"/>
      <c r="C953" s="55"/>
      <c r="D953" s="56"/>
      <c r="E953" s="23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55"/>
      <c r="C954" s="55"/>
      <c r="D954" s="56"/>
      <c r="E954" s="23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55"/>
      <c r="C955" s="55"/>
      <c r="D955" s="56"/>
      <c r="E955" s="23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55"/>
      <c r="C956" s="55"/>
      <c r="D956" s="56"/>
      <c r="E956" s="23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55"/>
      <c r="C957" s="55"/>
      <c r="D957" s="56"/>
      <c r="E957" s="23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55"/>
      <c r="C958" s="55"/>
      <c r="D958" s="56"/>
      <c r="E958" s="23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55"/>
      <c r="C959" s="55"/>
      <c r="D959" s="56"/>
      <c r="E959" s="23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55"/>
      <c r="C960" s="55"/>
      <c r="D960" s="56"/>
      <c r="E960" s="23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55"/>
      <c r="C961" s="55"/>
      <c r="D961" s="56"/>
      <c r="E961" s="23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55"/>
      <c r="C962" s="55"/>
      <c r="D962" s="56"/>
      <c r="E962" s="23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55"/>
      <c r="C963" s="55"/>
      <c r="D963" s="56"/>
      <c r="E963" s="23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55"/>
      <c r="C964" s="55"/>
      <c r="D964" s="56"/>
      <c r="E964" s="23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55"/>
      <c r="C965" s="55"/>
      <c r="D965" s="56"/>
      <c r="E965" s="23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55"/>
      <c r="C966" s="55"/>
      <c r="D966" s="56"/>
      <c r="E966" s="23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55"/>
      <c r="C967" s="55"/>
      <c r="D967" s="56"/>
      <c r="E967" s="23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55"/>
      <c r="C968" s="55"/>
      <c r="D968" s="56"/>
      <c r="E968" s="23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55"/>
      <c r="C969" s="55"/>
      <c r="D969" s="56"/>
      <c r="E969" s="23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55"/>
      <c r="C970" s="55"/>
      <c r="D970" s="56"/>
      <c r="E970" s="23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55"/>
      <c r="C971" s="55"/>
      <c r="D971" s="56"/>
      <c r="E971" s="23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55"/>
      <c r="C972" s="55"/>
      <c r="D972" s="56"/>
      <c r="E972" s="23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55"/>
      <c r="C973" s="55"/>
      <c r="D973" s="56"/>
      <c r="E973" s="23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55"/>
      <c r="C974" s="55"/>
      <c r="D974" s="56"/>
      <c r="E974" s="23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55"/>
      <c r="C975" s="55"/>
      <c r="D975" s="56"/>
      <c r="E975" s="23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55"/>
      <c r="C976" s="55"/>
      <c r="D976" s="56"/>
      <c r="E976" s="23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55"/>
      <c r="C977" s="55"/>
      <c r="D977" s="56"/>
      <c r="E977" s="23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55"/>
      <c r="C978" s="55"/>
      <c r="D978" s="56"/>
      <c r="E978" s="23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55"/>
      <c r="C979" s="55"/>
      <c r="D979" s="56"/>
      <c r="E979" s="23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55"/>
      <c r="C980" s="55"/>
      <c r="D980" s="56"/>
      <c r="E980" s="23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55"/>
      <c r="C981" s="55"/>
      <c r="D981" s="56"/>
      <c r="E981" s="23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55"/>
      <c r="C982" s="55"/>
      <c r="D982" s="56"/>
      <c r="E982" s="23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55"/>
      <c r="C983" s="55"/>
      <c r="D983" s="56"/>
      <c r="E983" s="23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55"/>
      <c r="C984" s="55"/>
      <c r="D984" s="56"/>
      <c r="E984" s="23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55"/>
      <c r="C985" s="55"/>
      <c r="D985" s="56"/>
      <c r="E985" s="23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55"/>
      <c r="C986" s="55"/>
      <c r="D986" s="56"/>
      <c r="E986" s="23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55"/>
      <c r="C987" s="55"/>
      <c r="D987" s="56"/>
      <c r="E987" s="23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55"/>
      <c r="C988" s="55"/>
      <c r="D988" s="56"/>
      <c r="E988" s="23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55"/>
      <c r="C989" s="55"/>
      <c r="D989" s="56"/>
      <c r="E989" s="23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55"/>
      <c r="C990" s="55"/>
      <c r="D990" s="56"/>
      <c r="E990" s="23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55"/>
      <c r="C991" s="55"/>
      <c r="D991" s="56"/>
      <c r="E991" s="23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55"/>
      <c r="C992" s="55"/>
      <c r="D992" s="56"/>
      <c r="E992" s="23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55"/>
      <c r="C993" s="55"/>
      <c r="D993" s="56"/>
      <c r="E993" s="23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55"/>
      <c r="C994" s="55"/>
      <c r="D994" s="56"/>
      <c r="E994" s="23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55"/>
      <c r="C995" s="55"/>
      <c r="D995" s="56"/>
      <c r="E995" s="23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55"/>
      <c r="C996" s="55"/>
      <c r="D996" s="56"/>
      <c r="E996" s="23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55"/>
      <c r="C997" s="55"/>
      <c r="D997" s="56"/>
      <c r="E997" s="23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55"/>
      <c r="C998" s="55"/>
      <c r="D998" s="56"/>
      <c r="E998" s="23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55"/>
      <c r="C999" s="55"/>
      <c r="D999" s="56"/>
      <c r="E999" s="23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55"/>
      <c r="C1000" s="55"/>
      <c r="D1000" s="56"/>
      <c r="E1000" s="23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55"/>
      <c r="C1001" s="55"/>
      <c r="D1001" s="56"/>
      <c r="E1001" s="23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55"/>
      <c r="C1002" s="55"/>
      <c r="D1002" s="56"/>
      <c r="E1002" s="23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55"/>
      <c r="C1003" s="55"/>
      <c r="D1003" s="56"/>
      <c r="E1003" s="23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55"/>
      <c r="C1004" s="55"/>
      <c r="D1004" s="56"/>
      <c r="E1004" s="23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55"/>
      <c r="C1005" s="55"/>
      <c r="D1005" s="56"/>
      <c r="E1005" s="23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7"/>
      <c r="B1006" s="55"/>
      <c r="C1006" s="55"/>
      <c r="D1006" s="56"/>
      <c r="E1006" s="23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7"/>
      <c r="B1007" s="55"/>
      <c r="C1007" s="55"/>
      <c r="D1007" s="56"/>
      <c r="E1007" s="23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7"/>
      <c r="B1008" s="55"/>
      <c r="C1008" s="55"/>
      <c r="D1008" s="56"/>
      <c r="E1008" s="23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7"/>
      <c r="B1009" s="55"/>
      <c r="C1009" s="55"/>
      <c r="D1009" s="56"/>
      <c r="E1009" s="23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7"/>
      <c r="B1010" s="55"/>
      <c r="C1010" s="55"/>
      <c r="D1010" s="56"/>
      <c r="E1010" s="23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>
      <c r="A1011" s="7"/>
      <c r="B1011" s="55"/>
      <c r="C1011" s="55"/>
      <c r="D1011" s="56"/>
      <c r="E1011" s="23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>
      <c r="A1012" s="7"/>
      <c r="B1012" s="55"/>
      <c r="C1012" s="55"/>
      <c r="D1012" s="56"/>
      <c r="E1012" s="23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>
      <c r="A1013" s="7"/>
      <c r="B1013" s="55"/>
      <c r="C1013" s="55"/>
      <c r="D1013" s="56"/>
      <c r="E1013" s="23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>
      <c r="A1014" s="7"/>
      <c r="B1014" s="55"/>
      <c r="C1014" s="55"/>
      <c r="D1014" s="56"/>
      <c r="E1014" s="23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>
      <c r="A1015" s="7"/>
      <c r="B1015" s="55"/>
      <c r="C1015" s="55"/>
      <c r="D1015" s="56"/>
      <c r="E1015" s="23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>
      <c r="A1016" s="7"/>
      <c r="B1016" s="55"/>
      <c r="C1016" s="55"/>
      <c r="D1016" s="56"/>
      <c r="E1016" s="23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>
      <c r="A1017" s="7"/>
      <c r="B1017" s="55"/>
      <c r="C1017" s="55"/>
      <c r="D1017" s="56"/>
      <c r="E1017" s="23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>
      <c r="A1018" s="7"/>
      <c r="B1018" s="55"/>
      <c r="C1018" s="55"/>
      <c r="D1018" s="56"/>
      <c r="E1018" s="23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>
      <c r="A1019" s="7"/>
      <c r="B1019" s="55"/>
      <c r="C1019" s="55"/>
      <c r="D1019" s="56"/>
      <c r="E1019" s="23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>
      <c r="A1020" s="7"/>
      <c r="B1020" s="55"/>
      <c r="C1020" s="55"/>
      <c r="D1020" s="56"/>
      <c r="E1020" s="23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>
      <c r="A1021" s="7"/>
      <c r="B1021" s="55"/>
      <c r="C1021" s="55"/>
      <c r="D1021" s="56"/>
      <c r="E1021" s="23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>
      <c r="A1022" s="7"/>
      <c r="B1022" s="55"/>
      <c r="C1022" s="55"/>
      <c r="D1022" s="56"/>
      <c r="E1022" s="23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>
      <c r="A1023" s="7"/>
      <c r="B1023" s="55"/>
      <c r="C1023" s="55"/>
      <c r="D1023" s="56"/>
      <c r="E1023" s="23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>
      <c r="A1024" s="7"/>
      <c r="B1024" s="55"/>
      <c r="C1024" s="55"/>
      <c r="D1024" s="56"/>
      <c r="E1024" s="23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>
      <c r="A1025" s="7"/>
      <c r="B1025" s="55"/>
      <c r="C1025" s="55"/>
      <c r="D1025" s="56"/>
      <c r="E1025" s="23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>
      <c r="A1026" s="7"/>
      <c r="B1026" s="55"/>
      <c r="C1026" s="55"/>
      <c r="D1026" s="56"/>
      <c r="E1026" s="23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>
      <c r="A1027" s="7"/>
      <c r="B1027" s="55"/>
      <c r="C1027" s="55"/>
      <c r="D1027" s="56"/>
      <c r="E1027" s="23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>
      <c r="E1028" s="23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</sheetData>
  <dataValidations>
    <dataValidation type="custom" allowBlank="1" showDropDown="1" sqref="B2:D50 G2:G50">
      <formula1>AND(ISNUMBER(B2),(NOT(OR(NOT(ISERROR(DATEVALUE(B2))), AND(ISNUMBER(B2), LEFT(CELL("format", B2))="D")))))</formula1>
    </dataValidation>
    <dataValidation allowBlank="1" showDropDown="1" sqref="F2:F50"/>
  </dataValidations>
  <hyperlinks>
    <hyperlink r:id="rId2" ref="F2"/>
    <hyperlink r:id="rId3" ref="F3"/>
    <hyperlink r:id="rId4" ref="F4"/>
    <hyperlink r:id="rId5" ref="F5"/>
    <hyperlink r:id="rId6" ref="M5"/>
    <hyperlink r:id="rId7" ref="F6"/>
    <hyperlink r:id="rId8" ref="M6"/>
    <hyperlink r:id="rId9" ref="F7"/>
    <hyperlink r:id="rId10" ref="M7"/>
    <hyperlink r:id="rId11" ref="F8"/>
    <hyperlink r:id="rId12" ref="M8"/>
    <hyperlink r:id="rId13" ref="F9"/>
    <hyperlink r:id="rId14" ref="M9"/>
    <hyperlink r:id="rId15" ref="F10"/>
    <hyperlink r:id="rId16" ref="M10"/>
    <hyperlink r:id="rId17" ref="F11"/>
    <hyperlink r:id="rId18" ref="M11"/>
    <hyperlink r:id="rId19" ref="F12"/>
    <hyperlink r:id="rId20" ref="M12"/>
    <hyperlink r:id="rId21" ref="F13"/>
    <hyperlink r:id="rId22" ref="M13"/>
    <hyperlink r:id="rId23" ref="F14"/>
    <hyperlink r:id="rId24" location="averageCustomerReviewsAnchor" ref="M14"/>
    <hyperlink r:id="rId25" ref="F15"/>
    <hyperlink r:id="rId26" ref="M15"/>
    <hyperlink r:id="rId27" ref="F16"/>
    <hyperlink r:id="rId28" ref="M16"/>
    <hyperlink r:id="rId29" location="averageCustomerReviewsAnchor" ref="F17"/>
    <hyperlink r:id="rId30" ref="M17"/>
    <hyperlink r:id="rId31" ref="F18"/>
    <hyperlink r:id="rId32" ref="M18"/>
    <hyperlink r:id="rId33" ref="F19"/>
    <hyperlink r:id="rId34" ref="M19"/>
    <hyperlink r:id="rId35" ref="F20"/>
    <hyperlink r:id="rId36" ref="M20"/>
    <hyperlink r:id="rId37" ref="F21"/>
    <hyperlink r:id="rId38" ref="M21"/>
    <hyperlink r:id="rId39" ref="F22"/>
    <hyperlink r:id="rId40" ref="M22"/>
    <hyperlink r:id="rId41" ref="F23"/>
    <hyperlink r:id="rId42" ref="M23"/>
    <hyperlink r:id="rId43" ref="F24"/>
    <hyperlink r:id="rId44" ref="F25"/>
    <hyperlink r:id="rId45" ref="F26"/>
    <hyperlink r:id="rId46" location="averageCustomerReviewsAnchor" ref="F27"/>
    <hyperlink r:id="rId47" ref="F28"/>
    <hyperlink r:id="rId48" ref="F29"/>
    <hyperlink r:id="rId49" ref="F30"/>
    <hyperlink r:id="rId50" ref="F38"/>
    <hyperlink r:id="rId51" ref="F39"/>
    <hyperlink r:id="rId52" ref="F40"/>
    <hyperlink r:id="rId53" ref="F41"/>
    <hyperlink r:id="rId54" ref="F42"/>
    <hyperlink r:id="rId55" ref="F43"/>
    <hyperlink r:id="rId56" ref="F44"/>
    <hyperlink r:id="rId57" ref="F45"/>
    <hyperlink r:id="rId58" ref="F57"/>
  </hyperlinks>
  <printOptions horizontalCentered="1"/>
  <pageMargins bottom="0.61" footer="0.0" header="0.0" left="0.0" right="0.0" top="0.6"/>
  <pageSetup fitToWidth="0" orientation="portrait" pageOrder="overThenDown"/>
  <drawing r:id="rId59"/>
  <legacyDrawing r:id="rId60"/>
  <tableParts count="3">
    <tablePart r:id="rId64"/>
    <tablePart r:id="rId65"/>
    <tablePart r:id="rId66"/>
  </tableParts>
</worksheet>
</file>